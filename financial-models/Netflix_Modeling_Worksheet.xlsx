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735" windowWidth="29400" windowHeight="18375" firstSheet="2"/>
  </bookViews>
  <sheets>
    <sheet name="Cover Page" sheetId="1" r:id="rId1"/>
    <sheet name="Summary Table" sheetId="5" r:id="rId2"/>
    <sheet name="Assumption Table" sheetId="3" r:id="rId3"/>
    <sheet name="The Model" sheetId="4" r:id="rId4"/>
    <sheet name="Scenario Table" sheetId="7" r:id="rId5"/>
    <sheet name="Multiples Valuation" sheetId="21" r:id="rId6"/>
    <sheet name="DCF Valuation Table" sheetId="8" r:id="rId7"/>
    <sheet name="Capital Structure" sheetId="6" state="hidden" r:id="rId8"/>
    <sheet name="Data Source Table" sheetId="2" state="hidden" r:id="rId9"/>
  </sheets>
  <definedNames>
    <definedName name="CIQWBGuid" hidden="1">"3de72a2e-3be8-45f6-8a4a-0093f9eed3e1"</definedName>
    <definedName name="CIQWBInfo" hidden="1">"{ ""CIQVersion"":""9.49.2423.4439""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45982.8365162037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">'Assumption Table'!$A$1:$V$83</definedName>
    <definedName name="_xlnm.Print_Area" localSheetId="7">'Capital Structure'!$G$21:$L$32</definedName>
    <definedName name="_xlnm.Print_Area" localSheetId="0">'Cover Page'!$A$1:$P$29</definedName>
    <definedName name="_xlnm.Print_Area" localSheetId="6">'DCF Valuation Table'!$A$1:$J$38</definedName>
    <definedName name="_xlnm.Print_Area" localSheetId="5">'Multiples Valuation'!$A$1:$F$30</definedName>
    <definedName name="_xlnm.Print_Area" localSheetId="4">'Scenario Table'!$A$1:$L$74</definedName>
    <definedName name="_xlnm.Print_Area" localSheetId="1">'Summary Table'!$A$1:$H$23</definedName>
    <definedName name="_xlnm.Print_Area" localSheetId="3">'The Model'!$A$1:$J$302</definedName>
    <definedName name="_xlnm.Print_Titles" localSheetId="5">'Multiples Valuation'!$1:$3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8" l="1"/>
  <c r="C4" i="8"/>
  <c r="I6" i="8" l="1"/>
  <c r="J6" i="8" s="1"/>
  <c r="D11" i="5" l="1"/>
  <c r="B18" i="5"/>
  <c r="C18" i="5"/>
  <c r="D18" i="5"/>
  <c r="E26" i="8"/>
  <c r="E17" i="8"/>
  <c r="E11" i="5"/>
  <c r="F11" i="5"/>
  <c r="D2" i="21"/>
  <c r="F2" i="8"/>
  <c r="J59" i="7"/>
  <c r="B61" i="7"/>
  <c r="I57" i="7"/>
  <c r="I58" i="7" s="1"/>
  <c r="J57" i="7"/>
  <c r="J58" i="7" s="1"/>
  <c r="K57" i="7"/>
  <c r="K59" i="7" s="1"/>
  <c r="L57" i="7"/>
  <c r="L59" i="7" s="1"/>
  <c r="H57" i="7"/>
  <c r="H58" i="7" s="1"/>
  <c r="B32" i="7"/>
  <c r="B8" i="7"/>
  <c r="C54" i="7"/>
  <c r="C40" i="7"/>
  <c r="C33" i="7"/>
  <c r="C17" i="7"/>
  <c r="A1" i="7" a="1"/>
  <c r="A1" i="7" s="1"/>
  <c r="B35" i="3"/>
  <c r="F4" i="21"/>
  <c r="C20" i="5" s="1"/>
  <c r="E38" i="8"/>
  <c r="E37" i="8"/>
  <c r="E34" i="8"/>
  <c r="E35" i="8"/>
  <c r="I33" i="8"/>
  <c r="J33" i="8" s="1"/>
  <c r="G33" i="8"/>
  <c r="F33" i="8" s="1"/>
  <c r="E28" i="8"/>
  <c r="D16" i="21" s="1"/>
  <c r="G23" i="6"/>
  <c r="C266" i="4"/>
  <c r="D266" i="4"/>
  <c r="E266" i="4"/>
  <c r="C267" i="4"/>
  <c r="D267" i="4"/>
  <c r="E267" i="4"/>
  <c r="C269" i="4"/>
  <c r="D269" i="4"/>
  <c r="E269" i="4"/>
  <c r="C270" i="4"/>
  <c r="D270" i="4"/>
  <c r="E270" i="4"/>
  <c r="C271" i="4"/>
  <c r="D271" i="4"/>
  <c r="E271" i="4"/>
  <c r="C272" i="4"/>
  <c r="D272" i="4"/>
  <c r="E272" i="4"/>
  <c r="C273" i="4"/>
  <c r="D273" i="4"/>
  <c r="E273" i="4"/>
  <c r="C274" i="4"/>
  <c r="D274" i="4"/>
  <c r="E274" i="4"/>
  <c r="C275" i="4"/>
  <c r="D275" i="4"/>
  <c r="E275" i="4"/>
  <c r="C277" i="4"/>
  <c r="D277" i="4"/>
  <c r="E277" i="4"/>
  <c r="C278" i="4"/>
  <c r="D278" i="4"/>
  <c r="E278" i="4"/>
  <c r="F278" i="4" s="1"/>
  <c r="G278" i="4" s="1"/>
  <c r="H278" i="4" s="1"/>
  <c r="I278" i="4" s="1"/>
  <c r="J278" i="4" s="1"/>
  <c r="C279" i="4"/>
  <c r="D279" i="4"/>
  <c r="E279" i="4"/>
  <c r="F279" i="4" s="1"/>
  <c r="G279" i="4" s="1"/>
  <c r="H279" i="4" s="1"/>
  <c r="I279" i="4" s="1"/>
  <c r="J279" i="4" s="1"/>
  <c r="C280" i="4"/>
  <c r="D280" i="4"/>
  <c r="E280" i="4"/>
  <c r="F280" i="4" s="1"/>
  <c r="G280" i="4" s="1"/>
  <c r="H280" i="4" s="1"/>
  <c r="I280" i="4" s="1"/>
  <c r="J280" i="4" s="1"/>
  <c r="C281" i="4"/>
  <c r="D281" i="4"/>
  <c r="E281" i="4"/>
  <c r="F281" i="4" s="1"/>
  <c r="G281" i="4" s="1"/>
  <c r="H281" i="4" s="1"/>
  <c r="C282" i="4"/>
  <c r="D282" i="4"/>
  <c r="E282" i="4"/>
  <c r="F282" i="4" s="1"/>
  <c r="G282" i="4" s="1"/>
  <c r="H282" i="4" s="1"/>
  <c r="I282" i="4" s="1"/>
  <c r="C283" i="4"/>
  <c r="D283" i="4"/>
  <c r="E283" i="4"/>
  <c r="C285" i="4"/>
  <c r="D285" i="4"/>
  <c r="E285" i="4"/>
  <c r="F285" i="4" s="1"/>
  <c r="G285" i="4" s="1"/>
  <c r="H285" i="4" s="1"/>
  <c r="I285" i="4" s="1"/>
  <c r="J285" i="4" s="1"/>
  <c r="C286" i="4"/>
  <c r="D286" i="4"/>
  <c r="E286" i="4"/>
  <c r="C287" i="4"/>
  <c r="D287" i="4"/>
  <c r="E287" i="4"/>
  <c r="C288" i="4"/>
  <c r="D288" i="4"/>
  <c r="E288" i="4"/>
  <c r="C289" i="4"/>
  <c r="D289" i="4"/>
  <c r="E289" i="4"/>
  <c r="C290" i="4"/>
  <c r="D290" i="4"/>
  <c r="E290" i="4"/>
  <c r="F290" i="4" s="1"/>
  <c r="G290" i="4" s="1"/>
  <c r="H290" i="4" s="1"/>
  <c r="I290" i="4" s="1"/>
  <c r="J290" i="4" s="1"/>
  <c r="C292" i="4"/>
  <c r="D292" i="4"/>
  <c r="E292" i="4"/>
  <c r="C293" i="4"/>
  <c r="D293" i="4"/>
  <c r="E293" i="4"/>
  <c r="F293" i="4" s="1"/>
  <c r="G293" i="4" s="1"/>
  <c r="H293" i="4" s="1"/>
  <c r="I293" i="4" s="1"/>
  <c r="J293" i="4" s="1"/>
  <c r="C295" i="4"/>
  <c r="D295" i="4"/>
  <c r="E295" i="4"/>
  <c r="F295" i="4" s="1"/>
  <c r="G295" i="4" s="1"/>
  <c r="H295" i="4" s="1"/>
  <c r="I295" i="4" s="1"/>
  <c r="J295" i="4" s="1"/>
  <c r="C297" i="4"/>
  <c r="D297" i="4"/>
  <c r="E297" i="4"/>
  <c r="F297" i="4" s="1"/>
  <c r="G297" i="4" s="1"/>
  <c r="H297" i="4" s="1"/>
  <c r="I297" i="4" s="1"/>
  <c r="J297" i="4" s="1"/>
  <c r="C298" i="4"/>
  <c r="D298" i="4"/>
  <c r="E298" i="4"/>
  <c r="F298" i="4" s="1"/>
  <c r="G298" i="4" s="1"/>
  <c r="H298" i="4" s="1"/>
  <c r="I298" i="4" s="1"/>
  <c r="J298" i="4" s="1"/>
  <c r="C299" i="4"/>
  <c r="D299" i="4"/>
  <c r="E299" i="4"/>
  <c r="C300" i="4"/>
  <c r="D300" i="4"/>
  <c r="E300" i="4"/>
  <c r="C301" i="4"/>
  <c r="D301" i="4"/>
  <c r="E301" i="4"/>
  <c r="F301" i="4" s="1"/>
  <c r="G301" i="4" s="1"/>
  <c r="H301" i="4" s="1"/>
  <c r="I301" i="4" s="1"/>
  <c r="J301" i="4" s="1"/>
  <c r="C302" i="4"/>
  <c r="D302" i="4"/>
  <c r="E302" i="4"/>
  <c r="D265" i="4"/>
  <c r="E265" i="4"/>
  <c r="C265" i="4"/>
  <c r="B266" i="4"/>
  <c r="B267" i="4"/>
  <c r="B269" i="4"/>
  <c r="B270" i="4"/>
  <c r="B271" i="4"/>
  <c r="B272" i="4"/>
  <c r="B273" i="4"/>
  <c r="B274" i="4"/>
  <c r="B275" i="4"/>
  <c r="B277" i="4"/>
  <c r="B278" i="4"/>
  <c r="B279" i="4"/>
  <c r="B280" i="4"/>
  <c r="B281" i="4"/>
  <c r="B282" i="4"/>
  <c r="B283" i="4"/>
  <c r="B285" i="4"/>
  <c r="B286" i="4"/>
  <c r="B287" i="4"/>
  <c r="B288" i="4"/>
  <c r="B289" i="4"/>
  <c r="B290" i="4"/>
  <c r="B292" i="4"/>
  <c r="B293" i="4"/>
  <c r="B295" i="4"/>
  <c r="B297" i="4"/>
  <c r="B298" i="4"/>
  <c r="B299" i="4"/>
  <c r="B301" i="4"/>
  <c r="B302" i="4"/>
  <c r="B265" i="4"/>
  <c r="I59" i="7" l="1"/>
  <c r="K58" i="7"/>
  <c r="L58" i="7"/>
  <c r="H59" i="7"/>
  <c r="G292" i="4"/>
  <c r="H292" i="4"/>
  <c r="I292" i="4"/>
  <c r="J292" i="4"/>
  <c r="F292" i="4"/>
  <c r="G271" i="4"/>
  <c r="H271" i="4"/>
  <c r="I271" i="4"/>
  <c r="J271" i="4"/>
  <c r="F271" i="4"/>
  <c r="G270" i="4"/>
  <c r="H270" i="4"/>
  <c r="I270" i="4"/>
  <c r="J270" i="4"/>
  <c r="F270" i="4"/>
  <c r="G269" i="4"/>
  <c r="H269" i="4"/>
  <c r="I269" i="4"/>
  <c r="J269" i="4"/>
  <c r="F269" i="4"/>
  <c r="H55" i="7"/>
  <c r="I55" i="7"/>
  <c r="J55" i="7"/>
  <c r="K55" i="7"/>
  <c r="L55" i="7"/>
  <c r="I281" i="4"/>
  <c r="F4" i="4"/>
  <c r="B6" i="4"/>
  <c r="B7" i="4"/>
  <c r="C7" i="4"/>
  <c r="D7" i="4"/>
  <c r="E7" i="4"/>
  <c r="B8" i="4"/>
  <c r="B10" i="4"/>
  <c r="C10" i="4"/>
  <c r="D10" i="4"/>
  <c r="E10" i="4"/>
  <c r="B11" i="4"/>
  <c r="C11" i="4"/>
  <c r="D11" i="4"/>
  <c r="E11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9" i="4"/>
  <c r="C19" i="4"/>
  <c r="D19" i="4"/>
  <c r="E19" i="4"/>
  <c r="B25" i="4"/>
  <c r="B189" i="4" s="1"/>
  <c r="C25" i="4"/>
  <c r="C189" i="4" s="1"/>
  <c r="D25" i="4"/>
  <c r="E25" i="4"/>
  <c r="B26" i="4"/>
  <c r="C26" i="4"/>
  <c r="C190" i="4" s="1"/>
  <c r="D26" i="4"/>
  <c r="E26" i="4"/>
  <c r="E190" i="4" s="1"/>
  <c r="B27" i="4"/>
  <c r="B191" i="4" s="1"/>
  <c r="C27" i="4"/>
  <c r="C191" i="4" s="1"/>
  <c r="D27" i="4"/>
  <c r="D191" i="4" s="1"/>
  <c r="E27" i="4"/>
  <c r="C40" i="4"/>
  <c r="D40" i="4"/>
  <c r="E40" i="4"/>
  <c r="C42" i="4"/>
  <c r="D42" i="4"/>
  <c r="E42" i="4"/>
  <c r="E64" i="4" s="1"/>
  <c r="E79" i="4" s="1"/>
  <c r="C44" i="4"/>
  <c r="D44" i="4"/>
  <c r="E44" i="4"/>
  <c r="C46" i="4"/>
  <c r="D46" i="4"/>
  <c r="E46" i="4"/>
  <c r="C48" i="4"/>
  <c r="D48" i="4"/>
  <c r="E48" i="4"/>
  <c r="E67" i="4" s="1"/>
  <c r="E112" i="4" s="1"/>
  <c r="C50" i="4"/>
  <c r="D50" i="4"/>
  <c r="E50" i="4"/>
  <c r="E68" i="4" s="1"/>
  <c r="E123" i="4" s="1"/>
  <c r="C52" i="4"/>
  <c r="D52" i="4"/>
  <c r="E52" i="4"/>
  <c r="C54" i="4"/>
  <c r="D54" i="4"/>
  <c r="E54" i="4"/>
  <c r="E70" i="4" s="1"/>
  <c r="C57" i="4"/>
  <c r="D57" i="4"/>
  <c r="E57" i="4"/>
  <c r="C58" i="4"/>
  <c r="D58" i="4"/>
  <c r="E58" i="4"/>
  <c r="E69" i="4"/>
  <c r="E134" i="4" s="1"/>
  <c r="C133" i="4"/>
  <c r="C122" i="4"/>
  <c r="C111" i="4"/>
  <c r="E66" i="4"/>
  <c r="E101" i="4" s="1"/>
  <c r="C100" i="4"/>
  <c r="E65" i="4"/>
  <c r="E90" i="4"/>
  <c r="C89" i="4"/>
  <c r="C76" i="4"/>
  <c r="B76" i="4"/>
  <c r="B89" i="4"/>
  <c r="B100" i="4" s="1"/>
  <c r="B111" i="4" s="1"/>
  <c r="B122" i="4" s="1"/>
  <c r="B133" i="4" s="1"/>
  <c r="B163" i="4"/>
  <c r="C163" i="4"/>
  <c r="D163" i="4"/>
  <c r="E163" i="4"/>
  <c r="B164" i="4"/>
  <c r="C164" i="4"/>
  <c r="D164" i="4"/>
  <c r="E164" i="4"/>
  <c r="B165" i="4"/>
  <c r="C165" i="4"/>
  <c r="D165" i="4"/>
  <c r="E165" i="4"/>
  <c r="B166" i="4"/>
  <c r="C166" i="4"/>
  <c r="D166" i="4"/>
  <c r="E166" i="4"/>
  <c r="E167" i="4"/>
  <c r="B168" i="4"/>
  <c r="C168" i="4"/>
  <c r="D168" i="4"/>
  <c r="E168" i="4"/>
  <c r="B170" i="4"/>
  <c r="C170" i="4"/>
  <c r="D170" i="4"/>
  <c r="E170" i="4"/>
  <c r="B171" i="4"/>
  <c r="C171" i="4"/>
  <c r="D171" i="4"/>
  <c r="E171" i="4"/>
  <c r="B172" i="4"/>
  <c r="C172" i="4"/>
  <c r="D172" i="4"/>
  <c r="E172" i="4"/>
  <c r="B173" i="4"/>
  <c r="C173" i="4"/>
  <c r="D173" i="4"/>
  <c r="E173" i="4"/>
  <c r="B174" i="4"/>
  <c r="C174" i="4"/>
  <c r="D174" i="4"/>
  <c r="E174" i="4"/>
  <c r="B175" i="4"/>
  <c r="C175" i="4"/>
  <c r="D175" i="4"/>
  <c r="E175" i="4"/>
  <c r="B177" i="4"/>
  <c r="B178" i="4"/>
  <c r="B184" i="4"/>
  <c r="C184" i="4"/>
  <c r="D184" i="4"/>
  <c r="E184" i="4"/>
  <c r="B186" i="4"/>
  <c r="C186" i="4"/>
  <c r="D186" i="4"/>
  <c r="D187" i="4" s="1"/>
  <c r="E186" i="4"/>
  <c r="B187" i="4"/>
  <c r="D189" i="4"/>
  <c r="E189" i="4"/>
  <c r="B190" i="4"/>
  <c r="D190" i="4"/>
  <c r="E191" i="4"/>
  <c r="C192" i="4"/>
  <c r="D192" i="4"/>
  <c r="E192" i="4"/>
  <c r="B193" i="4"/>
  <c r="C193" i="4"/>
  <c r="D193" i="4"/>
  <c r="E193" i="4"/>
  <c r="B195" i="4"/>
  <c r="D195" i="4"/>
  <c r="B196" i="4"/>
  <c r="C196" i="4"/>
  <c r="D196" i="4"/>
  <c r="E196" i="4"/>
  <c r="B198" i="4"/>
  <c r="C198" i="4"/>
  <c r="D198" i="4"/>
  <c r="E198" i="4"/>
  <c r="B199" i="4"/>
  <c r="C199" i="4"/>
  <c r="D199" i="4"/>
  <c r="E199" i="4"/>
  <c r="B200" i="4"/>
  <c r="C200" i="4"/>
  <c r="D200" i="4"/>
  <c r="E200" i="4"/>
  <c r="B202" i="4"/>
  <c r="C202" i="4"/>
  <c r="D202" i="4"/>
  <c r="E202" i="4"/>
  <c r="F202" i="4"/>
  <c r="G202" i="4" s="1"/>
  <c r="H202" i="4" s="1"/>
  <c r="I202" i="4" s="1"/>
  <c r="J202" i="4" s="1"/>
  <c r="B203" i="4"/>
  <c r="C203" i="4"/>
  <c r="D203" i="4"/>
  <c r="E203" i="4"/>
  <c r="B204" i="4"/>
  <c r="C204" i="4"/>
  <c r="D204" i="4"/>
  <c r="E204" i="4"/>
  <c r="B206" i="4"/>
  <c r="C206" i="4"/>
  <c r="D206" i="4"/>
  <c r="E206" i="4"/>
  <c r="B213" i="4"/>
  <c r="B214" i="4"/>
  <c r="C214" i="4"/>
  <c r="D214" i="4"/>
  <c r="E214" i="4"/>
  <c r="B216" i="4"/>
  <c r="C216" i="4"/>
  <c r="D216" i="4"/>
  <c r="E216" i="4"/>
  <c r="B217" i="4"/>
  <c r="C217" i="4"/>
  <c r="D217" i="4"/>
  <c r="E217" i="4"/>
  <c r="B218" i="4"/>
  <c r="C218" i="4"/>
  <c r="D218" i="4"/>
  <c r="E218" i="4"/>
  <c r="B220" i="4"/>
  <c r="C220" i="4"/>
  <c r="D220" i="4"/>
  <c r="E220" i="4"/>
  <c r="B221" i="4"/>
  <c r="C221" i="4"/>
  <c r="D221" i="4"/>
  <c r="E221" i="4"/>
  <c r="B222" i="4"/>
  <c r="C222" i="4"/>
  <c r="D222" i="4"/>
  <c r="E222" i="4"/>
  <c r="B223" i="4"/>
  <c r="C223" i="4"/>
  <c r="D223" i="4"/>
  <c r="E223" i="4"/>
  <c r="B225" i="4"/>
  <c r="C225" i="4"/>
  <c r="D225" i="4"/>
  <c r="E225" i="4"/>
  <c r="B226" i="4"/>
  <c r="C226" i="4"/>
  <c r="D226" i="4"/>
  <c r="E226" i="4"/>
  <c r="B227" i="4"/>
  <c r="C227" i="4"/>
  <c r="D227" i="4"/>
  <c r="E227" i="4"/>
  <c r="B229" i="4"/>
  <c r="C229" i="4"/>
  <c r="D229" i="4"/>
  <c r="E229" i="4"/>
  <c r="F229" i="4" s="1"/>
  <c r="G229" i="4" s="1"/>
  <c r="H229" i="4" s="1"/>
  <c r="I229" i="4" s="1"/>
  <c r="J229" i="4" s="1"/>
  <c r="B230" i="4"/>
  <c r="C230" i="4"/>
  <c r="D230" i="4"/>
  <c r="E230" i="4"/>
  <c r="F230" i="4"/>
  <c r="G230" i="4"/>
  <c r="H230" i="4"/>
  <c r="I230" i="4"/>
  <c r="J230" i="4"/>
  <c r="B231" i="4"/>
  <c r="C231" i="4"/>
  <c r="D231" i="4"/>
  <c r="E231" i="4"/>
  <c r="F231" i="4"/>
  <c r="G231" i="4" s="1"/>
  <c r="H231" i="4" s="1"/>
  <c r="I231" i="4" s="1"/>
  <c r="J231" i="4" s="1"/>
  <c r="B232" i="4"/>
  <c r="C232" i="4"/>
  <c r="D232" i="4"/>
  <c r="E232" i="4"/>
  <c r="B234" i="4"/>
  <c r="B235" i="4"/>
  <c r="C235" i="4"/>
  <c r="D235" i="4"/>
  <c r="E235" i="4"/>
  <c r="B236" i="4"/>
  <c r="C236" i="4"/>
  <c r="D236" i="4"/>
  <c r="E236" i="4"/>
  <c r="B237" i="4"/>
  <c r="C237" i="4"/>
  <c r="D237" i="4"/>
  <c r="E237" i="4"/>
  <c r="B238" i="4"/>
  <c r="C238" i="4"/>
  <c r="D238" i="4"/>
  <c r="E238" i="4"/>
  <c r="B239" i="4"/>
  <c r="C239" i="4"/>
  <c r="D239" i="4"/>
  <c r="E239" i="4"/>
  <c r="B240" i="4"/>
  <c r="C240" i="4"/>
  <c r="D240" i="4"/>
  <c r="E240" i="4"/>
  <c r="B241" i="4"/>
  <c r="C241" i="4"/>
  <c r="D241" i="4"/>
  <c r="E241" i="4"/>
  <c r="B243" i="4"/>
  <c r="C243" i="4"/>
  <c r="D243" i="4"/>
  <c r="E243" i="4"/>
  <c r="B244" i="4"/>
  <c r="C244" i="4"/>
  <c r="D244" i="4"/>
  <c r="E244" i="4"/>
  <c r="F244" i="4"/>
  <c r="G244" i="4" s="1"/>
  <c r="H244" i="4" s="1"/>
  <c r="I244" i="4" s="1"/>
  <c r="J244" i="4" s="1"/>
  <c r="B245" i="4"/>
  <c r="C245" i="4"/>
  <c r="D245" i="4"/>
  <c r="E245" i="4"/>
  <c r="F245" i="4"/>
  <c r="G245" i="4" s="1"/>
  <c r="H245" i="4" s="1"/>
  <c r="I245" i="4" s="1"/>
  <c r="J245" i="4" s="1"/>
  <c r="B246" i="4"/>
  <c r="C246" i="4"/>
  <c r="D246" i="4"/>
  <c r="E246" i="4"/>
  <c r="F246" i="4" s="1"/>
  <c r="G246" i="4" s="1"/>
  <c r="H246" i="4" s="1"/>
  <c r="I246" i="4" s="1"/>
  <c r="J246" i="4" s="1"/>
  <c r="B247" i="4"/>
  <c r="C247" i="4"/>
  <c r="D247" i="4"/>
  <c r="E247" i="4"/>
  <c r="B249" i="4"/>
  <c r="C249" i="4"/>
  <c r="D249" i="4"/>
  <c r="E249" i="4"/>
  <c r="F249" i="4" s="1"/>
  <c r="G249" i="4" s="1"/>
  <c r="H249" i="4" s="1"/>
  <c r="I249" i="4" s="1"/>
  <c r="J249" i="4" s="1"/>
  <c r="B250" i="4"/>
  <c r="C250" i="4"/>
  <c r="D250" i="4"/>
  <c r="E250" i="4"/>
  <c r="F250" i="4" s="1"/>
  <c r="G250" i="4" s="1"/>
  <c r="H250" i="4" s="1"/>
  <c r="I250" i="4" s="1"/>
  <c r="J250" i="4" s="1"/>
  <c r="B251" i="4"/>
  <c r="C251" i="4"/>
  <c r="D251" i="4"/>
  <c r="E251" i="4"/>
  <c r="B252" i="4"/>
  <c r="C252" i="4"/>
  <c r="D252" i="4"/>
  <c r="E252" i="4"/>
  <c r="F252" i="4" s="1"/>
  <c r="G252" i="4" s="1"/>
  <c r="H252" i="4" s="1"/>
  <c r="I252" i="4" s="1"/>
  <c r="J252" i="4" s="1"/>
  <c r="B253" i="4"/>
  <c r="C253" i="4"/>
  <c r="D253" i="4"/>
  <c r="E253" i="4"/>
  <c r="F253" i="4" s="1"/>
  <c r="G253" i="4" s="1"/>
  <c r="H253" i="4" s="1"/>
  <c r="I253" i="4" s="1"/>
  <c r="J253" i="4" s="1"/>
  <c r="B254" i="4"/>
  <c r="C254" i="4"/>
  <c r="D254" i="4"/>
  <c r="E254" i="4"/>
  <c r="B256" i="4"/>
  <c r="C256" i="4"/>
  <c r="D256" i="4"/>
  <c r="E256" i="4"/>
  <c r="B258" i="4"/>
  <c r="C258" i="4"/>
  <c r="D258" i="4"/>
  <c r="E258" i="4"/>
  <c r="C19" i="6"/>
  <c r="E10" i="6" s="1"/>
  <c r="F10" i="6" s="1"/>
  <c r="E3" i="6"/>
  <c r="F3" i="6"/>
  <c r="E5" i="6"/>
  <c r="F5" i="6"/>
  <c r="E6" i="6"/>
  <c r="F6" i="6"/>
  <c r="E7" i="6"/>
  <c r="F7" i="6" s="1"/>
  <c r="E8" i="6"/>
  <c r="F8" i="6" s="1"/>
  <c r="E9" i="6"/>
  <c r="F9" i="6" s="1"/>
  <c r="E13" i="6"/>
  <c r="F13" i="6"/>
  <c r="E15" i="6"/>
  <c r="F15" i="6"/>
  <c r="E16" i="6"/>
  <c r="F16" i="6" s="1"/>
  <c r="E17" i="6"/>
  <c r="F17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G31" i="6"/>
  <c r="S58" i="3" s="1"/>
  <c r="H31" i="6"/>
  <c r="S59" i="3" s="1"/>
  <c r="J31" i="6"/>
  <c r="S60" i="3" s="1"/>
  <c r="E32" i="6"/>
  <c r="F32" i="6"/>
  <c r="E33" i="6"/>
  <c r="F33" i="6"/>
  <c r="E34" i="6"/>
  <c r="F34" i="6"/>
  <c r="E35" i="6"/>
  <c r="F35" i="6"/>
  <c r="E36" i="6"/>
  <c r="F36" i="6"/>
  <c r="E37" i="6"/>
  <c r="F37" i="6"/>
  <c r="E38" i="6"/>
  <c r="F38" i="6"/>
  <c r="E39" i="6"/>
  <c r="F39" i="6"/>
  <c r="E40" i="6"/>
  <c r="F40" i="6"/>
  <c r="E41" i="6"/>
  <c r="F41" i="6"/>
  <c r="E42" i="6"/>
  <c r="F42" i="6"/>
  <c r="E43" i="6"/>
  <c r="F43" i="6"/>
  <c r="E44" i="6"/>
  <c r="F44" i="6"/>
  <c r="E45" i="6"/>
  <c r="F45" i="6"/>
  <c r="E46" i="6"/>
  <c r="F46" i="6"/>
  <c r="E47" i="6"/>
  <c r="F47" i="6"/>
  <c r="E48" i="6"/>
  <c r="F48" i="6"/>
  <c r="E49" i="6"/>
  <c r="F49" i="6"/>
  <c r="E50" i="6"/>
  <c r="F50" i="6"/>
  <c r="E51" i="6"/>
  <c r="F51" i="6"/>
  <c r="E52" i="6"/>
  <c r="F52" i="6"/>
  <c r="E53" i="6"/>
  <c r="F53" i="6"/>
  <c r="E54" i="6"/>
  <c r="F54" i="6"/>
  <c r="E55" i="6"/>
  <c r="F55" i="6"/>
  <c r="E56" i="6"/>
  <c r="F56" i="6"/>
  <c r="E57" i="6"/>
  <c r="F57" i="6"/>
  <c r="E58" i="6"/>
  <c r="F58" i="6"/>
  <c r="E59" i="6"/>
  <c r="F59" i="6"/>
  <c r="E60" i="6"/>
  <c r="F60" i="6"/>
  <c r="E61" i="6"/>
  <c r="F61" i="6"/>
  <c r="E62" i="6"/>
  <c r="F62" i="6"/>
  <c r="E63" i="6"/>
  <c r="F63" i="6"/>
  <c r="E64" i="6"/>
  <c r="F64" i="6"/>
  <c r="E65" i="6"/>
  <c r="F65" i="6"/>
  <c r="E66" i="6"/>
  <c r="F66" i="6"/>
  <c r="E67" i="6"/>
  <c r="F67" i="6"/>
  <c r="E68" i="6"/>
  <c r="F68" i="6"/>
  <c r="E69" i="6"/>
  <c r="F69" i="6"/>
  <c r="E70" i="6"/>
  <c r="F70" i="6"/>
  <c r="E71" i="6"/>
  <c r="F71" i="6"/>
  <c r="E72" i="6"/>
  <c r="F72" i="6"/>
  <c r="E73" i="6"/>
  <c r="F73" i="6"/>
  <c r="E74" i="6"/>
  <c r="F74" i="6"/>
  <c r="E75" i="6"/>
  <c r="F75" i="6"/>
  <c r="E76" i="6"/>
  <c r="F76" i="6"/>
  <c r="E77" i="6"/>
  <c r="F77" i="6"/>
  <c r="E78" i="6"/>
  <c r="F78" i="6"/>
  <c r="E79" i="6"/>
  <c r="F79" i="6"/>
  <c r="E80" i="6"/>
  <c r="F80" i="6"/>
  <c r="E81" i="6"/>
  <c r="F81" i="6"/>
  <c r="E82" i="6"/>
  <c r="F82" i="6"/>
  <c r="L5" i="3"/>
  <c r="C6" i="3"/>
  <c r="L6" i="3"/>
  <c r="B75" i="4" s="1"/>
  <c r="L7" i="3"/>
  <c r="L8" i="3"/>
  <c r="L9" i="3"/>
  <c r="L10" i="3"/>
  <c r="B11" i="3"/>
  <c r="B57" i="3" s="1"/>
  <c r="C9" i="7" s="1"/>
  <c r="L11" i="3"/>
  <c r="I12" i="3"/>
  <c r="L12" i="3"/>
  <c r="B17" i="3"/>
  <c r="B63" i="3" s="1"/>
  <c r="C24" i="7" s="1"/>
  <c r="L17" i="3"/>
  <c r="B18" i="3"/>
  <c r="L18" i="3"/>
  <c r="B19" i="3"/>
  <c r="L19" i="3"/>
  <c r="B88" i="4" s="1"/>
  <c r="B20" i="3"/>
  <c r="L20" i="3"/>
  <c r="B99" i="4" s="1"/>
  <c r="L21" i="3"/>
  <c r="B110" i="4" s="1"/>
  <c r="L22" i="3"/>
  <c r="B121" i="4" s="1"/>
  <c r="L23" i="3"/>
  <c r="B132" i="4" s="1"/>
  <c r="L24" i="3"/>
  <c r="B25" i="3"/>
  <c r="B28" i="3"/>
  <c r="B29" i="3"/>
  <c r="B31" i="3"/>
  <c r="B74" i="3" s="1"/>
  <c r="C47" i="7" s="1"/>
  <c r="B32" i="3"/>
  <c r="B33" i="3"/>
  <c r="B34" i="3"/>
  <c r="B39" i="3"/>
  <c r="R39" i="3"/>
  <c r="S39" i="3" s="1"/>
  <c r="T39" i="3" s="1"/>
  <c r="B40" i="3"/>
  <c r="Q40" i="3" a="1"/>
  <c r="Q40" i="3" s="1"/>
  <c r="B41" i="3"/>
  <c r="B42" i="3"/>
  <c r="Q42" i="3" a="1"/>
  <c r="Q42" i="3" s="1"/>
  <c r="B44" i="3"/>
  <c r="B45" i="3"/>
  <c r="B46" i="3"/>
  <c r="R46" i="3"/>
  <c r="S46" i="3" s="1"/>
  <c r="T46" i="3" s="1"/>
  <c r="U46" i="3" s="1"/>
  <c r="B47" i="3"/>
  <c r="Q47" i="3"/>
  <c r="F29" i="4" s="1"/>
  <c r="R47" i="3"/>
  <c r="S47" i="3"/>
  <c r="T47" i="3"/>
  <c r="U47" i="3"/>
  <c r="V47" i="3"/>
  <c r="B48" i="3"/>
  <c r="B49" i="3"/>
  <c r="B50" i="3"/>
  <c r="Q52" i="3"/>
  <c r="Q53" i="3"/>
  <c r="L72" i="3"/>
  <c r="L77" i="3" s="1"/>
  <c r="L73" i="3"/>
  <c r="L74" i="3"/>
  <c r="L79" i="3" s="1"/>
  <c r="R77" i="3"/>
  <c r="F5" i="21" s="1"/>
  <c r="C21" i="5" s="1"/>
  <c r="L78" i="3"/>
  <c r="R78" i="3"/>
  <c r="F6" i="21" s="1"/>
  <c r="C22" i="5" s="1"/>
  <c r="R79" i="3"/>
  <c r="F7" i="21" s="1"/>
  <c r="C23" i="5" s="1"/>
  <c r="C77" i="2"/>
  <c r="D77" i="2" s="1"/>
  <c r="E77" i="2" s="1"/>
  <c r="F77" i="2" s="1"/>
  <c r="G77" i="2" s="1"/>
  <c r="J77" i="2"/>
  <c r="K77" i="2" s="1"/>
  <c r="L77" i="2" s="1"/>
  <c r="M77" i="2"/>
  <c r="I78" i="2"/>
  <c r="J78" i="2"/>
  <c r="K78" i="2"/>
  <c r="L78" i="2"/>
  <c r="M78" i="2"/>
  <c r="O78" i="2"/>
  <c r="I79" i="2"/>
  <c r="J79" i="2"/>
  <c r="K79" i="2"/>
  <c r="L79" i="2"/>
  <c r="M79" i="2"/>
  <c r="O79" i="2"/>
  <c r="I80" i="2"/>
  <c r="J80" i="2"/>
  <c r="K80" i="2"/>
  <c r="L80" i="2"/>
  <c r="M80" i="2"/>
  <c r="O80" i="2" s="1"/>
  <c r="I81" i="2"/>
  <c r="J81" i="2"/>
  <c r="K81" i="2"/>
  <c r="L81" i="2"/>
  <c r="M81" i="2"/>
  <c r="B82" i="2"/>
  <c r="B84" i="2" s="1"/>
  <c r="C82" i="2"/>
  <c r="C84" i="2" s="1"/>
  <c r="D82" i="2"/>
  <c r="D84" i="2" s="1"/>
  <c r="E82" i="2"/>
  <c r="F82" i="2"/>
  <c r="F84" i="2" s="1"/>
  <c r="G82" i="2"/>
  <c r="I82" i="2"/>
  <c r="J82" i="2"/>
  <c r="I83" i="2"/>
  <c r="J83" i="2"/>
  <c r="K83" i="2"/>
  <c r="L83" i="2"/>
  <c r="M83" i="2"/>
  <c r="J84" i="2"/>
  <c r="I86" i="2"/>
  <c r="J86" i="2"/>
  <c r="K86" i="2"/>
  <c r="L86" i="2"/>
  <c r="M86" i="2"/>
  <c r="I87" i="2"/>
  <c r="J87" i="2"/>
  <c r="K87" i="2"/>
  <c r="L87" i="2"/>
  <c r="M87" i="2"/>
  <c r="O87" i="2"/>
  <c r="I89" i="2"/>
  <c r="J89" i="2"/>
  <c r="K89" i="2"/>
  <c r="L89" i="2"/>
  <c r="M89" i="2"/>
  <c r="O89" i="2"/>
  <c r="I17" i="3" s="1"/>
  <c r="H27" i="7" s="1"/>
  <c r="I90" i="2"/>
  <c r="J90" i="2"/>
  <c r="K90" i="2"/>
  <c r="L90" i="2"/>
  <c r="M90" i="2"/>
  <c r="I91" i="2"/>
  <c r="J91" i="2"/>
  <c r="K91" i="2"/>
  <c r="L91" i="2"/>
  <c r="M91" i="2"/>
  <c r="I92" i="2"/>
  <c r="J92" i="2"/>
  <c r="K92" i="2"/>
  <c r="L92" i="2"/>
  <c r="M92" i="2"/>
  <c r="I94" i="2"/>
  <c r="J94" i="2"/>
  <c r="K94" i="2"/>
  <c r="L94" i="2"/>
  <c r="M94" i="2"/>
  <c r="I97" i="2"/>
  <c r="J97" i="2"/>
  <c r="K97" i="2"/>
  <c r="L97" i="2"/>
  <c r="M97" i="2"/>
  <c r="O97" i="2"/>
  <c r="I31" i="3" s="1"/>
  <c r="I98" i="2"/>
  <c r="J98" i="2"/>
  <c r="K98" i="2"/>
  <c r="L98" i="2"/>
  <c r="M98" i="2"/>
  <c r="O98" i="2"/>
  <c r="I32" i="3" s="1"/>
  <c r="I99" i="2"/>
  <c r="J99" i="2"/>
  <c r="K99" i="2"/>
  <c r="L99" i="2"/>
  <c r="M99" i="2"/>
  <c r="I100" i="2"/>
  <c r="J100" i="2"/>
  <c r="K100" i="2"/>
  <c r="L100" i="2"/>
  <c r="M100" i="2"/>
  <c r="C103" i="2"/>
  <c r="D103" i="2" s="1"/>
  <c r="E103" i="2" s="1"/>
  <c r="F103" i="2" s="1"/>
  <c r="G103" i="2" s="1"/>
  <c r="J103" i="2"/>
  <c r="K103" i="2"/>
  <c r="L103" i="2"/>
  <c r="M103" i="2"/>
  <c r="I104" i="2"/>
  <c r="I109" i="2" s="1"/>
  <c r="J104" i="2"/>
  <c r="I112" i="2"/>
  <c r="C115" i="2"/>
  <c r="D115" i="2"/>
  <c r="E115" i="2"/>
  <c r="F115" i="2"/>
  <c r="G115" i="2"/>
  <c r="J115" i="2"/>
  <c r="K115" i="2" s="1"/>
  <c r="L115" i="2" s="1"/>
  <c r="M115" i="2" s="1"/>
  <c r="I116" i="2"/>
  <c r="I124" i="2" s="1"/>
  <c r="J116" i="2"/>
  <c r="J123" i="2" s="1"/>
  <c r="I119" i="2"/>
  <c r="J119" i="2"/>
  <c r="I125" i="2"/>
  <c r="K125" i="2"/>
  <c r="B129" i="2"/>
  <c r="B131" i="2" s="1"/>
  <c r="C129" i="2"/>
  <c r="C131" i="2" s="1"/>
  <c r="I131" i="2" s="1"/>
  <c r="D129" i="2"/>
  <c r="D131" i="2" s="1"/>
  <c r="J131" i="2" s="1"/>
  <c r="E129" i="2"/>
  <c r="F129" i="2"/>
  <c r="F131" i="2" s="1"/>
  <c r="G129" i="2"/>
  <c r="G131" i="2" s="1"/>
  <c r="E131" i="2"/>
  <c r="C133" i="2"/>
  <c r="D133" i="2"/>
  <c r="E133" i="2"/>
  <c r="F133" i="2"/>
  <c r="B138" i="2"/>
  <c r="C138" i="2"/>
  <c r="D138" i="2"/>
  <c r="E138" i="2"/>
  <c r="F138" i="2"/>
  <c r="G138" i="2"/>
  <c r="C140" i="2"/>
  <c r="D140" i="2"/>
  <c r="E140" i="2" s="1"/>
  <c r="F140" i="2" s="1"/>
  <c r="G140" i="2"/>
  <c r="I142" i="2"/>
  <c r="Q28" i="3" s="1"/>
  <c r="F151" i="4" s="1"/>
  <c r="F152" i="4" s="1"/>
  <c r="F289" i="4" s="1"/>
  <c r="I143" i="2"/>
  <c r="Q29" i="3" s="1"/>
  <c r="B144" i="2"/>
  <c r="C144" i="2"/>
  <c r="D144" i="2"/>
  <c r="E144" i="2"/>
  <c r="F144" i="2"/>
  <c r="G144" i="2"/>
  <c r="J286" i="2"/>
  <c r="K286" i="2"/>
  <c r="L286" i="2"/>
  <c r="M286" i="2"/>
  <c r="N286" i="2"/>
  <c r="J289" i="2"/>
  <c r="K289" i="2"/>
  <c r="L289" i="2"/>
  <c r="M289" i="2"/>
  <c r="N289" i="2"/>
  <c r="P289" i="2"/>
  <c r="B1044" i="2"/>
  <c r="C1044" i="2"/>
  <c r="D1044" i="2"/>
  <c r="E1044" i="2"/>
  <c r="F1044" i="2"/>
  <c r="G1044" i="2"/>
  <c r="R72" i="3" s="1"/>
  <c r="D5" i="21" s="1"/>
  <c r="B21" i="5" s="1"/>
  <c r="H1044" i="2"/>
  <c r="R73" i="3" s="1"/>
  <c r="D6" i="21" s="1"/>
  <c r="B22" i="5" s="1"/>
  <c r="I1044" i="2"/>
  <c r="R74" i="3" s="1"/>
  <c r="D7" i="21" s="1"/>
  <c r="B23" i="5" s="1"/>
  <c r="F23" i="4" l="1"/>
  <c r="F38" i="4" s="1"/>
  <c r="F62" i="4" s="1"/>
  <c r="F74" i="4" s="1"/>
  <c r="H6" i="7"/>
  <c r="O100" i="2"/>
  <c r="I33" i="3" s="1"/>
  <c r="O99" i="2"/>
  <c r="I34" i="3" s="1"/>
  <c r="I36" i="7"/>
  <c r="J36" i="7"/>
  <c r="K36" i="7"/>
  <c r="L36" i="7"/>
  <c r="H36" i="7"/>
  <c r="I50" i="7"/>
  <c r="J50" i="7"/>
  <c r="K50" i="7"/>
  <c r="L50" i="7"/>
  <c r="H50" i="7"/>
  <c r="O92" i="2"/>
  <c r="O90" i="2"/>
  <c r="I18" i="3" s="1"/>
  <c r="F14" i="4" s="1"/>
  <c r="G14" i="4" s="1"/>
  <c r="H14" i="4" s="1"/>
  <c r="I14" i="4" s="1"/>
  <c r="J14" i="4" s="1"/>
  <c r="H29" i="7"/>
  <c r="H28" i="7"/>
  <c r="H25" i="7" s="1"/>
  <c r="F13" i="4" s="1"/>
  <c r="I27" i="7"/>
  <c r="O86" i="2"/>
  <c r="I13" i="3" s="1"/>
  <c r="F10" i="4" s="1"/>
  <c r="I84" i="2"/>
  <c r="J29" i="4"/>
  <c r="J193" i="4"/>
  <c r="I29" i="4"/>
  <c r="I193" i="4"/>
  <c r="H29" i="4"/>
  <c r="H193" i="4"/>
  <c r="G29" i="4"/>
  <c r="G193" i="4"/>
  <c r="S62" i="3"/>
  <c r="S61" i="3"/>
  <c r="E195" i="4"/>
  <c r="E187" i="4"/>
  <c r="E176" i="4"/>
  <c r="E177" i="4" s="1"/>
  <c r="D176" i="4"/>
  <c r="D167" i="4"/>
  <c r="D169" i="4" s="1"/>
  <c r="D178" i="4" s="1"/>
  <c r="C167" i="4"/>
  <c r="C169" i="4" s="1"/>
  <c r="D31" i="4"/>
  <c r="C195" i="4"/>
  <c r="F7" i="4"/>
  <c r="G7" i="4" s="1"/>
  <c r="H7" i="4" s="1"/>
  <c r="I7" i="4" s="1"/>
  <c r="J7" i="4" s="1"/>
  <c r="F123" i="4"/>
  <c r="F130" i="4" s="1"/>
  <c r="G4" i="4"/>
  <c r="F134" i="4"/>
  <c r="F141" i="4" s="1"/>
  <c r="F101" i="4"/>
  <c r="F108" i="4" s="1"/>
  <c r="E4" i="4"/>
  <c r="F6" i="8"/>
  <c r="F112" i="4"/>
  <c r="F119" i="4" s="1"/>
  <c r="F153" i="4"/>
  <c r="F154" i="4" s="1"/>
  <c r="D21" i="21"/>
  <c r="D26" i="21" s="1"/>
  <c r="F79" i="4"/>
  <c r="F86" i="4" s="1"/>
  <c r="I25" i="3"/>
  <c r="I20" i="3"/>
  <c r="F16" i="4" s="1"/>
  <c r="G16" i="4" s="1"/>
  <c r="H16" i="4" s="1"/>
  <c r="I16" i="4" s="1"/>
  <c r="J16" i="4" s="1"/>
  <c r="G10" i="4"/>
  <c r="G101" i="4"/>
  <c r="G134" i="4"/>
  <c r="J23" i="6"/>
  <c r="Q54" i="3" s="1"/>
  <c r="Q51" i="3"/>
  <c r="L116" i="2"/>
  <c r="L104" i="2"/>
  <c r="D8" i="4"/>
  <c r="D18" i="4" s="1"/>
  <c r="J109" i="2"/>
  <c r="J106" i="2"/>
  <c r="J113" i="2"/>
  <c r="J110" i="2"/>
  <c r="D177" i="4"/>
  <c r="C187" i="4"/>
  <c r="O91" i="2"/>
  <c r="I19" i="3" s="1"/>
  <c r="H20" i="7" s="1"/>
  <c r="K82" i="2"/>
  <c r="C6" i="4"/>
  <c r="L131" i="2"/>
  <c r="J128" i="2"/>
  <c r="I118" i="2"/>
  <c r="I121" i="2"/>
  <c r="I126" i="2"/>
  <c r="M82" i="2"/>
  <c r="E6" i="4"/>
  <c r="I106" i="2"/>
  <c r="I113" i="2"/>
  <c r="I110" i="2"/>
  <c r="I123" i="2"/>
  <c r="E31" i="4"/>
  <c r="C176" i="4"/>
  <c r="C177" i="4" s="1"/>
  <c r="C178" i="4"/>
  <c r="J125" i="2"/>
  <c r="J121" i="2"/>
  <c r="J118" i="2"/>
  <c r="J126" i="2"/>
  <c r="F90" i="4"/>
  <c r="J124" i="2"/>
  <c r="I128" i="2"/>
  <c r="O81" i="2"/>
  <c r="I120" i="2"/>
  <c r="G84" i="2"/>
  <c r="E169" i="4"/>
  <c r="E178" i="4" s="1"/>
  <c r="J111" i="2"/>
  <c r="C31" i="4"/>
  <c r="J108" i="2"/>
  <c r="J120" i="2"/>
  <c r="I108" i="2"/>
  <c r="J127" i="2"/>
  <c r="J130" i="2"/>
  <c r="I127" i="2"/>
  <c r="O94" i="2"/>
  <c r="I35" i="3" s="1"/>
  <c r="F19" i="4"/>
  <c r="I111" i="2"/>
  <c r="P286" i="2"/>
  <c r="I28" i="3" s="1"/>
  <c r="F199" i="4" s="1"/>
  <c r="G199" i="4" s="1"/>
  <c r="H199" i="4" s="1"/>
  <c r="I199" i="4" s="1"/>
  <c r="J199" i="4" s="1"/>
  <c r="L82" i="2"/>
  <c r="D6" i="4"/>
  <c r="I130" i="2"/>
  <c r="J107" i="2"/>
  <c r="E84" i="2"/>
  <c r="J112" i="2"/>
  <c r="I107" i="2"/>
  <c r="F193" i="4"/>
  <c r="G23" i="4"/>
  <c r="G38" i="4" s="1"/>
  <c r="G62" i="4" s="1"/>
  <c r="J129" i="2"/>
  <c r="I129" i="2"/>
  <c r="E14" i="6"/>
  <c r="F14" i="6" s="1"/>
  <c r="E4" i="6"/>
  <c r="F4" i="6" s="1"/>
  <c r="E12" i="6"/>
  <c r="F12" i="6" s="1"/>
  <c r="E11" i="6"/>
  <c r="F11" i="6" s="1"/>
  <c r="F19" i="6" s="1"/>
  <c r="S64" i="3" l="1"/>
  <c r="I65" i="7"/>
  <c r="J65" i="7"/>
  <c r="K65" i="7"/>
  <c r="L65" i="7"/>
  <c r="H65" i="7"/>
  <c r="F147" i="4"/>
  <c r="F161" i="4" s="1"/>
  <c r="F183" i="4" s="1"/>
  <c r="F211" i="4" s="1"/>
  <c r="F263" i="4" s="1"/>
  <c r="G123" i="4"/>
  <c r="H4" i="4"/>
  <c r="I6" i="7"/>
  <c r="O82" i="2"/>
  <c r="I11" i="3" s="1"/>
  <c r="I22" i="7"/>
  <c r="J22" i="7"/>
  <c r="K22" i="7"/>
  <c r="L22" i="7"/>
  <c r="H22" i="7"/>
  <c r="H21" i="7"/>
  <c r="H18" i="7" s="1"/>
  <c r="F15" i="4" s="1"/>
  <c r="I20" i="7"/>
  <c r="I29" i="7"/>
  <c r="I28" i="7"/>
  <c r="I25" i="7" s="1"/>
  <c r="G13" i="4" s="1"/>
  <c r="J27" i="7"/>
  <c r="H52" i="7"/>
  <c r="H51" i="7"/>
  <c r="H48" i="7" s="1"/>
  <c r="F25" i="4" s="1"/>
  <c r="L52" i="7"/>
  <c r="L51" i="7"/>
  <c r="L48" i="7" s="1"/>
  <c r="K52" i="7"/>
  <c r="K51" i="7"/>
  <c r="K48" i="7" s="1"/>
  <c r="J52" i="7"/>
  <c r="J51" i="7"/>
  <c r="J48" i="7" s="1"/>
  <c r="I52" i="7"/>
  <c r="I51" i="7"/>
  <c r="I48" i="7" s="1"/>
  <c r="H38" i="7"/>
  <c r="H37" i="7"/>
  <c r="H34" i="7" s="1"/>
  <c r="F26" i="4" s="1"/>
  <c r="L38" i="7"/>
  <c r="L37" i="7"/>
  <c r="L34" i="7" s="1"/>
  <c r="K38" i="7"/>
  <c r="K37" i="7"/>
  <c r="K34" i="7" s="1"/>
  <c r="J38" i="7"/>
  <c r="J37" i="7"/>
  <c r="J34" i="7" s="1"/>
  <c r="I38" i="7"/>
  <c r="I37" i="7"/>
  <c r="I34" i="7" s="1"/>
  <c r="I43" i="7"/>
  <c r="J43" i="7"/>
  <c r="K43" i="7"/>
  <c r="L43" i="7"/>
  <c r="H43" i="7"/>
  <c r="G112" i="4"/>
  <c r="H112" i="4" s="1"/>
  <c r="F157" i="4"/>
  <c r="F287" i="4"/>
  <c r="F299" i="4" s="1"/>
  <c r="G6" i="8"/>
  <c r="E6" i="8"/>
  <c r="G79" i="4"/>
  <c r="H79" i="4" s="1"/>
  <c r="D4" i="4"/>
  <c r="E23" i="4"/>
  <c r="E38" i="4" s="1"/>
  <c r="E62" i="4" s="1"/>
  <c r="Q55" i="3"/>
  <c r="Q31" i="3"/>
  <c r="F155" i="4" s="1"/>
  <c r="F243" i="4"/>
  <c r="G151" i="4"/>
  <c r="G147" i="4"/>
  <c r="G161" i="4" s="1"/>
  <c r="G183" i="4" s="1"/>
  <c r="G211" i="4" s="1"/>
  <c r="G263" i="4" s="1"/>
  <c r="G74" i="4"/>
  <c r="H123" i="4"/>
  <c r="H101" i="4"/>
  <c r="K116" i="2"/>
  <c r="C8" i="4"/>
  <c r="C18" i="4" s="1"/>
  <c r="K84" i="2"/>
  <c r="K104" i="2"/>
  <c r="H10" i="4"/>
  <c r="M104" i="2"/>
  <c r="M116" i="2"/>
  <c r="E8" i="4"/>
  <c r="E18" i="4" s="1"/>
  <c r="M84" i="2"/>
  <c r="L112" i="2"/>
  <c r="L109" i="2"/>
  <c r="L106" i="2"/>
  <c r="L113" i="2"/>
  <c r="L107" i="2"/>
  <c r="L111" i="2"/>
  <c r="L110" i="2"/>
  <c r="L108" i="2"/>
  <c r="H134" i="4"/>
  <c r="L84" i="2"/>
  <c r="L128" i="2"/>
  <c r="L125" i="2"/>
  <c r="L121" i="2"/>
  <c r="L118" i="2"/>
  <c r="L123" i="2"/>
  <c r="L119" i="2"/>
  <c r="L126" i="2"/>
  <c r="L130" i="2"/>
  <c r="L127" i="2"/>
  <c r="L120" i="2"/>
  <c r="L124" i="2"/>
  <c r="L129" i="2"/>
  <c r="G19" i="4"/>
  <c r="F186" i="4"/>
  <c r="F97" i="4"/>
  <c r="F143" i="4" s="1"/>
  <c r="G90" i="4"/>
  <c r="H67" i="7" l="1"/>
  <c r="H66" i="7"/>
  <c r="H63" i="7"/>
  <c r="C2" i="8" s="1"/>
  <c r="L66" i="7"/>
  <c r="L67" i="7"/>
  <c r="L63" i="7"/>
  <c r="K66" i="7"/>
  <c r="K67" i="7"/>
  <c r="K63" i="7"/>
  <c r="L72" i="7"/>
  <c r="H72" i="7"/>
  <c r="K72" i="7"/>
  <c r="I72" i="7"/>
  <c r="J72" i="7"/>
  <c r="J66" i="7"/>
  <c r="J67" i="7"/>
  <c r="J63" i="7"/>
  <c r="I66" i="7"/>
  <c r="I63" i="7"/>
  <c r="I67" i="7"/>
  <c r="J6" i="7"/>
  <c r="I4" i="4"/>
  <c r="H23" i="4"/>
  <c r="H38" i="4" s="1"/>
  <c r="H62" i="4" s="1"/>
  <c r="H45" i="7"/>
  <c r="H44" i="7"/>
  <c r="H41" i="7" s="1"/>
  <c r="F27" i="4" s="1"/>
  <c r="F31" i="4" s="1"/>
  <c r="L45" i="7"/>
  <c r="L44" i="7"/>
  <c r="L41" i="7" s="1"/>
  <c r="K45" i="7"/>
  <c r="K44" i="7"/>
  <c r="K41" i="7" s="1"/>
  <c r="J45" i="7"/>
  <c r="J44" i="7"/>
  <c r="J41" i="7" s="1"/>
  <c r="I45" i="7"/>
  <c r="I44" i="7"/>
  <c r="I41" i="7" s="1"/>
  <c r="G26" i="4"/>
  <c r="F190" i="4"/>
  <c r="G25" i="4"/>
  <c r="F189" i="4"/>
  <c r="K27" i="7"/>
  <c r="J29" i="7"/>
  <c r="J28" i="7"/>
  <c r="J25" i="7" s="1"/>
  <c r="H13" i="4" s="1"/>
  <c r="I21" i="7"/>
  <c r="I18" i="7" s="1"/>
  <c r="G15" i="4" s="1"/>
  <c r="J20" i="7"/>
  <c r="I12" i="7"/>
  <c r="J12" i="7"/>
  <c r="K12" i="7"/>
  <c r="L12" i="7"/>
  <c r="H12" i="7"/>
  <c r="E147" i="4"/>
  <c r="E161" i="4" s="1"/>
  <c r="E183" i="4" s="1"/>
  <c r="E211" i="4" s="1"/>
  <c r="E263" i="4" s="1"/>
  <c r="E74" i="4"/>
  <c r="C4" i="4"/>
  <c r="C23" i="4" s="1"/>
  <c r="C38" i="4" s="1"/>
  <c r="C62" i="4" s="1"/>
  <c r="D23" i="4"/>
  <c r="D38" i="4" s="1"/>
  <c r="D62" i="4" s="1"/>
  <c r="M128" i="2"/>
  <c r="M125" i="2"/>
  <c r="O125" i="2" s="1"/>
  <c r="I46" i="3" s="1"/>
  <c r="M121" i="2"/>
  <c r="M126" i="2"/>
  <c r="M119" i="2"/>
  <c r="M130" i="2"/>
  <c r="M124" i="2"/>
  <c r="M127" i="2"/>
  <c r="M120" i="2"/>
  <c r="M118" i="2"/>
  <c r="M129" i="2"/>
  <c r="M123" i="2"/>
  <c r="M131" i="2"/>
  <c r="M112" i="2"/>
  <c r="M109" i="2"/>
  <c r="M106" i="2"/>
  <c r="M110" i="2"/>
  <c r="M111" i="2"/>
  <c r="M107" i="2"/>
  <c r="M113" i="2"/>
  <c r="M108" i="2"/>
  <c r="I10" i="4"/>
  <c r="H90" i="4"/>
  <c r="G153" i="4"/>
  <c r="G287" i="4" s="1"/>
  <c r="G152" i="4"/>
  <c r="G289" i="4" s="1"/>
  <c r="K109" i="2"/>
  <c r="K106" i="2"/>
  <c r="K113" i="2"/>
  <c r="O113" i="2" s="1"/>
  <c r="V12" i="3" s="1"/>
  <c r="K107" i="2"/>
  <c r="O107" i="2" s="1"/>
  <c r="V6" i="3" s="1"/>
  <c r="K112" i="2"/>
  <c r="K108" i="2"/>
  <c r="O108" i="2" s="1"/>
  <c r="V7" i="3" s="1"/>
  <c r="K111" i="2"/>
  <c r="K110" i="2"/>
  <c r="O84" i="2"/>
  <c r="I123" i="4"/>
  <c r="K121" i="2"/>
  <c r="O121" i="2" s="1"/>
  <c r="I42" i="3" s="1"/>
  <c r="K118" i="2"/>
  <c r="K123" i="2"/>
  <c r="K126" i="2"/>
  <c r="O126" i="2" s="1"/>
  <c r="I47" i="3" s="1"/>
  <c r="K124" i="2"/>
  <c r="O124" i="2" s="1"/>
  <c r="I45" i="3" s="1"/>
  <c r="K130" i="2"/>
  <c r="O130" i="2" s="1"/>
  <c r="I50" i="3" s="1"/>
  <c r="K127" i="2"/>
  <c r="O127" i="2" s="1"/>
  <c r="I48" i="3" s="1"/>
  <c r="K120" i="2"/>
  <c r="O120" i="2" s="1"/>
  <c r="I41" i="3" s="1"/>
  <c r="K119" i="2"/>
  <c r="O119" i="2" s="1"/>
  <c r="I40" i="3" s="1"/>
  <c r="K128" i="2"/>
  <c r="O128" i="2" s="1"/>
  <c r="I49" i="3" s="1"/>
  <c r="K129" i="2"/>
  <c r="O129" i="2" s="1"/>
  <c r="K131" i="2"/>
  <c r="O131" i="2" s="1"/>
  <c r="I112" i="4"/>
  <c r="I134" i="4"/>
  <c r="F192" i="4"/>
  <c r="F9" i="8" s="1"/>
  <c r="F58" i="4"/>
  <c r="H19" i="4"/>
  <c r="G186" i="4"/>
  <c r="F156" i="4"/>
  <c r="G156" i="4"/>
  <c r="I79" i="4"/>
  <c r="I101" i="4"/>
  <c r="J73" i="7" l="1"/>
  <c r="J74" i="7"/>
  <c r="J70" i="7"/>
  <c r="I74" i="7"/>
  <c r="I73" i="7"/>
  <c r="I70" i="7"/>
  <c r="K73" i="7"/>
  <c r="K74" i="7"/>
  <c r="K70" i="7"/>
  <c r="H73" i="7"/>
  <c r="H74" i="7"/>
  <c r="H70" i="7"/>
  <c r="C3" i="8" s="1"/>
  <c r="L74" i="7"/>
  <c r="L73" i="7"/>
  <c r="L70" i="7"/>
  <c r="H147" i="4"/>
  <c r="H161" i="4" s="1"/>
  <c r="H183" i="4" s="1"/>
  <c r="H211" i="4" s="1"/>
  <c r="H263" i="4" s="1"/>
  <c r="H74" i="4"/>
  <c r="K6" i="7"/>
  <c r="I23" i="4"/>
  <c r="I38" i="4" s="1"/>
  <c r="I62" i="4" s="1"/>
  <c r="J4" i="4"/>
  <c r="I13" i="7"/>
  <c r="I10" i="7" s="1"/>
  <c r="J13" i="7"/>
  <c r="J10" i="7" s="1"/>
  <c r="K13" i="7"/>
  <c r="K10" i="7" s="1"/>
  <c r="L13" i="7"/>
  <c r="L10" i="7" s="1"/>
  <c r="I14" i="7"/>
  <c r="J14" i="7"/>
  <c r="K14" i="7"/>
  <c r="L14" i="7"/>
  <c r="H13" i="7"/>
  <c r="H14" i="7"/>
  <c r="H10" i="7" s="1"/>
  <c r="F6" i="4" s="1"/>
  <c r="K20" i="7"/>
  <c r="J21" i="7"/>
  <c r="J18" i="7" s="1"/>
  <c r="H15" i="4" s="1"/>
  <c r="L27" i="7"/>
  <c r="K29" i="7"/>
  <c r="K28" i="7"/>
  <c r="K25" i="7" s="1"/>
  <c r="I13" i="4" s="1"/>
  <c r="H25" i="4"/>
  <c r="G189" i="4"/>
  <c r="H26" i="4"/>
  <c r="G190" i="4"/>
  <c r="G27" i="4"/>
  <c r="F191" i="4"/>
  <c r="F195" i="4" s="1"/>
  <c r="G154" i="4"/>
  <c r="C147" i="4"/>
  <c r="C161" i="4" s="1"/>
  <c r="C183" i="4" s="1"/>
  <c r="C211" i="4" s="1"/>
  <c r="C263" i="4" s="1"/>
  <c r="C74" i="4"/>
  <c r="G299" i="4"/>
  <c r="D74" i="4"/>
  <c r="D147" i="4"/>
  <c r="D161" i="4" s="1"/>
  <c r="D183" i="4" s="1"/>
  <c r="D211" i="4" s="1"/>
  <c r="D263" i="4" s="1"/>
  <c r="G198" i="4"/>
  <c r="G200" i="4" s="1"/>
  <c r="G20" i="8"/>
  <c r="F198" i="4"/>
  <c r="F200" i="4" s="1"/>
  <c r="F20" i="8"/>
  <c r="F266" i="4"/>
  <c r="F267" i="4" s="1"/>
  <c r="G243" i="4"/>
  <c r="H151" i="4"/>
  <c r="O109" i="2"/>
  <c r="V8" i="3" s="1"/>
  <c r="O123" i="2"/>
  <c r="I44" i="3" s="1"/>
  <c r="G157" i="4"/>
  <c r="F226" i="4"/>
  <c r="J134" i="4"/>
  <c r="I90" i="4"/>
  <c r="O110" i="2"/>
  <c r="V9" i="3" s="1"/>
  <c r="O118" i="2"/>
  <c r="I39" i="3" s="1"/>
  <c r="J101" i="4"/>
  <c r="J123" i="4"/>
  <c r="J10" i="4"/>
  <c r="J112" i="4"/>
  <c r="J79" i="4"/>
  <c r="O112" i="2"/>
  <c r="V11" i="3" s="1"/>
  <c r="O111" i="2"/>
  <c r="V10" i="3" s="1"/>
  <c r="I19" i="4"/>
  <c r="H186" i="4"/>
  <c r="O106" i="2"/>
  <c r="V5" i="3" s="1"/>
  <c r="J23" i="4" l="1"/>
  <c r="J38" i="4" s="1"/>
  <c r="J62" i="4" s="1"/>
  <c r="L6" i="7"/>
  <c r="I147" i="4"/>
  <c r="I161" i="4" s="1"/>
  <c r="I183" i="4" s="1"/>
  <c r="I211" i="4" s="1"/>
  <c r="I263" i="4" s="1"/>
  <c r="I74" i="4"/>
  <c r="H27" i="4"/>
  <c r="H31" i="4" s="1"/>
  <c r="G191" i="4"/>
  <c r="G31" i="4"/>
  <c r="I26" i="4"/>
  <c r="H190" i="4"/>
  <c r="I25" i="4"/>
  <c r="H189" i="4"/>
  <c r="L29" i="7"/>
  <c r="L28" i="7"/>
  <c r="L25" i="7" s="1"/>
  <c r="J13" i="4" s="1"/>
  <c r="L20" i="7"/>
  <c r="L21" i="7" s="1"/>
  <c r="L18" i="7" s="1"/>
  <c r="K21" i="7"/>
  <c r="K18" i="7" s="1"/>
  <c r="I15" i="4" s="1"/>
  <c r="G6" i="4"/>
  <c r="F8" i="4"/>
  <c r="H152" i="4"/>
  <c r="H153" i="4"/>
  <c r="H287" i="4" s="1"/>
  <c r="H156" i="4"/>
  <c r="I186" i="4"/>
  <c r="J19" i="4"/>
  <c r="J186" i="4" s="1"/>
  <c r="J90" i="4"/>
  <c r="J147" i="4" l="1"/>
  <c r="J161" i="4" s="1"/>
  <c r="J183" i="4" s="1"/>
  <c r="J211" i="4" s="1"/>
  <c r="J263" i="4" s="1"/>
  <c r="J74" i="4"/>
  <c r="C136" i="4" s="1" a="1"/>
  <c r="C136" i="4" s="1"/>
  <c r="C114" i="4" a="1"/>
  <c r="C114" i="4" s="1"/>
  <c r="C81" i="4" a="1"/>
  <c r="C81" i="4" s="1"/>
  <c r="J15" i="4"/>
  <c r="F18" i="4"/>
  <c r="F11" i="4"/>
  <c r="H6" i="4"/>
  <c r="G8" i="4"/>
  <c r="J25" i="4"/>
  <c r="I189" i="4"/>
  <c r="J26" i="4"/>
  <c r="J190" i="4" s="1"/>
  <c r="I190" i="4"/>
  <c r="I27" i="4"/>
  <c r="H191" i="4"/>
  <c r="H198" i="4"/>
  <c r="H200" i="4" s="1"/>
  <c r="H20" i="8"/>
  <c r="H154" i="4"/>
  <c r="I151" i="4" s="1"/>
  <c r="H289" i="4"/>
  <c r="H299" i="4" s="1"/>
  <c r="H157" i="4"/>
  <c r="C92" i="4" l="1" a="1"/>
  <c r="C92" i="4" s="1"/>
  <c r="C125" i="4" a="1"/>
  <c r="C125" i="4" s="1"/>
  <c r="C103" i="4" a="1"/>
  <c r="C103" i="4" s="1"/>
  <c r="J27" i="4"/>
  <c r="J191" i="4" s="1"/>
  <c r="I191" i="4"/>
  <c r="I31" i="4"/>
  <c r="J189" i="4"/>
  <c r="J31" i="4"/>
  <c r="G18" i="4"/>
  <c r="G11" i="4"/>
  <c r="I6" i="4"/>
  <c r="H8" i="4"/>
  <c r="F172" i="4"/>
  <c r="F237" i="4" s="1"/>
  <c r="F184" i="4"/>
  <c r="F54" i="4"/>
  <c r="F55" i="4" s="1"/>
  <c r="F70" i="4" s="1"/>
  <c r="F170" i="4"/>
  <c r="F165" i="4"/>
  <c r="F220" i="4" s="1"/>
  <c r="F173" i="4"/>
  <c r="F238" i="4" s="1"/>
  <c r="F164" i="4"/>
  <c r="F217" i="4" s="1"/>
  <c r="F46" i="4"/>
  <c r="F47" i="4" s="1"/>
  <c r="F66" i="4" s="1"/>
  <c r="F40" i="4"/>
  <c r="F175" i="4"/>
  <c r="F240" i="4" s="1"/>
  <c r="F42" i="4"/>
  <c r="F43" i="4" s="1"/>
  <c r="F64" i="4" s="1"/>
  <c r="F163" i="4"/>
  <c r="F171" i="4"/>
  <c r="F236" i="4" s="1"/>
  <c r="F174" i="4"/>
  <c r="F239" i="4" s="1"/>
  <c r="F273" i="4" s="1"/>
  <c r="F166" i="4"/>
  <c r="F222" i="4" s="1"/>
  <c r="F168" i="4"/>
  <c r="F52" i="4"/>
  <c r="F53" i="4" s="1"/>
  <c r="F69" i="4" s="1"/>
  <c r="F48" i="4"/>
  <c r="F49" i="4" s="1"/>
  <c r="F67" i="4" s="1"/>
  <c r="F50" i="4"/>
  <c r="F51" i="4" s="1"/>
  <c r="F68" i="4" s="1"/>
  <c r="F44" i="4"/>
  <c r="F45" i="4" s="1"/>
  <c r="F65" i="4" s="1"/>
  <c r="H243" i="4"/>
  <c r="I152" i="4"/>
  <c r="I153" i="4"/>
  <c r="I287" i="4" s="1"/>
  <c r="I156" i="4"/>
  <c r="F167" i="4" l="1"/>
  <c r="F216" i="4"/>
  <c r="F218" i="4" s="1"/>
  <c r="F71" i="4"/>
  <c r="F57" i="4"/>
  <c r="F41" i="4"/>
  <c r="F274" i="4"/>
  <c r="F235" i="4"/>
  <c r="F176" i="4"/>
  <c r="F187" i="4"/>
  <c r="F196" i="4" s="1"/>
  <c r="D13" i="21"/>
  <c r="D20" i="21" s="1"/>
  <c r="D22" i="21" s="1"/>
  <c r="D23" i="21" s="1"/>
  <c r="H18" i="4"/>
  <c r="H11" i="4"/>
  <c r="J6" i="4"/>
  <c r="J8" i="4" s="1"/>
  <c r="I8" i="4"/>
  <c r="G163" i="4"/>
  <c r="G48" i="4"/>
  <c r="G49" i="4" s="1"/>
  <c r="G67" i="4" s="1"/>
  <c r="G46" i="4"/>
  <c r="G47" i="4" s="1"/>
  <c r="G66" i="4" s="1"/>
  <c r="G184" i="4"/>
  <c r="G187" i="4" s="1"/>
  <c r="G44" i="4"/>
  <c r="G45" i="4" s="1"/>
  <c r="G65" i="4" s="1"/>
  <c r="G168" i="4"/>
  <c r="G175" i="4"/>
  <c r="G240" i="4" s="1"/>
  <c r="G166" i="4"/>
  <c r="G222" i="4" s="1"/>
  <c r="G174" i="4"/>
  <c r="G239" i="4" s="1"/>
  <c r="G273" i="4" s="1"/>
  <c r="G171" i="4"/>
  <c r="G236" i="4" s="1"/>
  <c r="G164" i="4"/>
  <c r="G217" i="4" s="1"/>
  <c r="G54" i="4"/>
  <c r="G55" i="4" s="1"/>
  <c r="G70" i="4" s="1"/>
  <c r="G165" i="4"/>
  <c r="G220" i="4" s="1"/>
  <c r="G42" i="4"/>
  <c r="G43" i="4" s="1"/>
  <c r="G64" i="4" s="1"/>
  <c r="G173" i="4"/>
  <c r="G238" i="4" s="1"/>
  <c r="G172" i="4"/>
  <c r="G237" i="4" s="1"/>
  <c r="G52" i="4"/>
  <c r="G53" i="4" s="1"/>
  <c r="G69" i="4" s="1"/>
  <c r="G170" i="4"/>
  <c r="G40" i="4"/>
  <c r="G50" i="4"/>
  <c r="G51" i="4" s="1"/>
  <c r="G68" i="4" s="1"/>
  <c r="I154" i="4"/>
  <c r="I243" i="4" s="1"/>
  <c r="I289" i="4"/>
  <c r="I198" i="4"/>
  <c r="I200" i="4" s="1"/>
  <c r="I20" i="8"/>
  <c r="I299" i="4"/>
  <c r="I157" i="4"/>
  <c r="J151" i="4" l="1"/>
  <c r="G274" i="4"/>
  <c r="G41" i="4"/>
  <c r="G57" i="4"/>
  <c r="G225" i="4" s="1"/>
  <c r="G235" i="4"/>
  <c r="G176" i="4"/>
  <c r="G71" i="4"/>
  <c r="G216" i="4"/>
  <c r="G218" i="4" s="1"/>
  <c r="G167" i="4"/>
  <c r="I18" i="4"/>
  <c r="I11" i="4"/>
  <c r="J18" i="4"/>
  <c r="J11" i="4"/>
  <c r="H184" i="4"/>
  <c r="H187" i="4" s="1"/>
  <c r="H42" i="4"/>
  <c r="H43" i="4" s="1"/>
  <c r="H64" i="4" s="1"/>
  <c r="H54" i="4"/>
  <c r="H55" i="4" s="1"/>
  <c r="H70" i="4" s="1"/>
  <c r="H164" i="4"/>
  <c r="H217" i="4" s="1"/>
  <c r="H174" i="4"/>
  <c r="H239" i="4" s="1"/>
  <c r="H273" i="4" s="1"/>
  <c r="H171" i="4"/>
  <c r="H236" i="4" s="1"/>
  <c r="H175" i="4"/>
  <c r="H240" i="4" s="1"/>
  <c r="H165" i="4"/>
  <c r="H220" i="4" s="1"/>
  <c r="H172" i="4"/>
  <c r="H237" i="4" s="1"/>
  <c r="H44" i="4"/>
  <c r="H45" i="4" s="1"/>
  <c r="H65" i="4" s="1"/>
  <c r="H168" i="4"/>
  <c r="H166" i="4"/>
  <c r="H222" i="4" s="1"/>
  <c r="H173" i="4"/>
  <c r="H238" i="4" s="1"/>
  <c r="H170" i="4"/>
  <c r="H48" i="4"/>
  <c r="H49" i="4" s="1"/>
  <c r="H67" i="4" s="1"/>
  <c r="H40" i="4"/>
  <c r="H50" i="4"/>
  <c r="H51" i="4" s="1"/>
  <c r="H68" i="4" s="1"/>
  <c r="H52" i="4"/>
  <c r="H53" i="4" s="1"/>
  <c r="H69" i="4" s="1"/>
  <c r="H163" i="4"/>
  <c r="H46" i="4"/>
  <c r="H47" i="4" s="1"/>
  <c r="H66" i="4" s="1"/>
  <c r="F203" i="4"/>
  <c r="F204" i="4" s="1"/>
  <c r="F206" i="4" s="1"/>
  <c r="D14" i="21"/>
  <c r="D25" i="21" s="1"/>
  <c r="D27" i="21" s="1"/>
  <c r="D28" i="21" s="1"/>
  <c r="F241" i="4"/>
  <c r="F247" i="4" s="1"/>
  <c r="F272" i="4"/>
  <c r="F59" i="4"/>
  <c r="F225" i="4"/>
  <c r="F227" i="4" s="1"/>
  <c r="F277" i="4" s="1"/>
  <c r="F169" i="4"/>
  <c r="F178" i="4" s="1"/>
  <c r="F179" i="4" s="1"/>
  <c r="F11" i="8" s="1"/>
  <c r="F177" i="4"/>
  <c r="J153" i="4"/>
  <c r="J287" i="4" s="1"/>
  <c r="J152" i="4"/>
  <c r="J156" i="4"/>
  <c r="F10" i="8" l="1"/>
  <c r="F283" i="4"/>
  <c r="F8" i="8"/>
  <c r="D15" i="21" s="1"/>
  <c r="D17" i="21" s="1"/>
  <c r="D30" i="21" s="1"/>
  <c r="F265" i="4"/>
  <c r="F275" i="4" s="1"/>
  <c r="F251" i="4"/>
  <c r="F254" i="4" s="1"/>
  <c r="F256" i="4" s="1"/>
  <c r="F258" i="4" s="1"/>
  <c r="F214" i="4" s="1"/>
  <c r="H216" i="4"/>
  <c r="H218" i="4" s="1"/>
  <c r="H167" i="4"/>
  <c r="H57" i="4"/>
  <c r="H225" i="4" s="1"/>
  <c r="H41" i="4"/>
  <c r="H235" i="4"/>
  <c r="H176" i="4"/>
  <c r="H274" i="4"/>
  <c r="H71" i="4"/>
  <c r="J184" i="4"/>
  <c r="J187" i="4" s="1"/>
  <c r="J174" i="4"/>
  <c r="J239" i="4" s="1"/>
  <c r="J54" i="4"/>
  <c r="J44" i="4"/>
  <c r="J175" i="4"/>
  <c r="J240" i="4" s="1"/>
  <c r="J168" i="4"/>
  <c r="J172" i="4"/>
  <c r="J237" i="4" s="1"/>
  <c r="J42" i="4"/>
  <c r="J171" i="4"/>
  <c r="J236" i="4" s="1"/>
  <c r="J173" i="4"/>
  <c r="J238" i="4" s="1"/>
  <c r="J166" i="4"/>
  <c r="J222" i="4" s="1"/>
  <c r="J165" i="4"/>
  <c r="J220" i="4" s="1"/>
  <c r="J164" i="4"/>
  <c r="J217" i="4" s="1"/>
  <c r="J163" i="4"/>
  <c r="J50" i="4"/>
  <c r="J170" i="4"/>
  <c r="J52" i="4"/>
  <c r="J48" i="4"/>
  <c r="J46" i="4"/>
  <c r="J40" i="4"/>
  <c r="I184" i="4"/>
  <c r="I187" i="4" s="1"/>
  <c r="I44" i="4"/>
  <c r="I45" i="4" s="1"/>
  <c r="I65" i="4" s="1"/>
  <c r="I168" i="4"/>
  <c r="I42" i="4"/>
  <c r="I43" i="4" s="1"/>
  <c r="I64" i="4" s="1"/>
  <c r="I171" i="4"/>
  <c r="I236" i="4" s="1"/>
  <c r="I174" i="4"/>
  <c r="I239" i="4" s="1"/>
  <c r="I273" i="4" s="1"/>
  <c r="I175" i="4"/>
  <c r="I240" i="4" s="1"/>
  <c r="I54" i="4"/>
  <c r="I55" i="4" s="1"/>
  <c r="I70" i="4" s="1"/>
  <c r="I172" i="4"/>
  <c r="I237" i="4" s="1"/>
  <c r="I166" i="4"/>
  <c r="I222" i="4" s="1"/>
  <c r="I164" i="4"/>
  <c r="I217" i="4" s="1"/>
  <c r="I165" i="4"/>
  <c r="I220" i="4" s="1"/>
  <c r="I274" i="4" s="1"/>
  <c r="I173" i="4"/>
  <c r="I238" i="4" s="1"/>
  <c r="I52" i="4"/>
  <c r="I53" i="4" s="1"/>
  <c r="I69" i="4" s="1"/>
  <c r="I46" i="4"/>
  <c r="I47" i="4" s="1"/>
  <c r="I66" i="4" s="1"/>
  <c r="I170" i="4"/>
  <c r="I48" i="4"/>
  <c r="I49" i="4" s="1"/>
  <c r="I67" i="4" s="1"/>
  <c r="I50" i="4"/>
  <c r="I51" i="4" s="1"/>
  <c r="I68" i="4" s="1"/>
  <c r="I40" i="4"/>
  <c r="I163" i="4"/>
  <c r="G169" i="4"/>
  <c r="G178" i="4" s="1"/>
  <c r="G179" i="4" s="1"/>
  <c r="G11" i="8" s="1"/>
  <c r="G177" i="4"/>
  <c r="G241" i="4"/>
  <c r="G247" i="4" s="1"/>
  <c r="G272" i="4"/>
  <c r="J154" i="4"/>
  <c r="J243" i="4" s="1"/>
  <c r="J289" i="4"/>
  <c r="J299" i="4" s="1"/>
  <c r="J198" i="4"/>
  <c r="J200" i="4" s="1"/>
  <c r="J20" i="8"/>
  <c r="J157" i="4"/>
  <c r="I216" i="4" l="1"/>
  <c r="I218" i="4" s="1"/>
  <c r="I167" i="4"/>
  <c r="I41" i="4"/>
  <c r="I57" i="4"/>
  <c r="I225" i="4" s="1"/>
  <c r="I235" i="4"/>
  <c r="I176" i="4"/>
  <c r="I71" i="4"/>
  <c r="J41" i="4"/>
  <c r="J57" i="4"/>
  <c r="J225" i="4" s="1"/>
  <c r="J47" i="4"/>
  <c r="J66" i="4" s="1"/>
  <c r="D103" i="4" s="1" a="1"/>
  <c r="J49" i="4"/>
  <c r="J67" i="4" s="1"/>
  <c r="D114" i="4" s="1" a="1"/>
  <c r="J53" i="4"/>
  <c r="J69" i="4" s="1"/>
  <c r="D136" i="4" s="1" a="1"/>
  <c r="J235" i="4"/>
  <c r="J176" i="4"/>
  <c r="J51" i="4"/>
  <c r="J68" i="4" s="1"/>
  <c r="D125" i="4" s="1" a="1"/>
  <c r="J216" i="4"/>
  <c r="J218" i="4" s="1"/>
  <c r="J167" i="4"/>
  <c r="J274" i="4"/>
  <c r="J43" i="4"/>
  <c r="J64" i="4" s="1"/>
  <c r="J45" i="4"/>
  <c r="J65" i="4" s="1"/>
  <c r="D92" i="4" s="1" a="1"/>
  <c r="J55" i="4"/>
  <c r="J70" i="4" s="1"/>
  <c r="J273" i="4"/>
  <c r="H241" i="4"/>
  <c r="H247" i="4" s="1"/>
  <c r="H272" i="4"/>
  <c r="H177" i="4"/>
  <c r="H169" i="4"/>
  <c r="H178" i="4" s="1"/>
  <c r="H179" i="4" s="1"/>
  <c r="H11" i="8" s="1"/>
  <c r="F223" i="4"/>
  <c r="F12" i="8"/>
  <c r="F13" i="8"/>
  <c r="F15" i="8" s="1"/>
  <c r="F22" i="8"/>
  <c r="F24" i="8" s="1"/>
  <c r="F302" i="4"/>
  <c r="D92" i="4" l="1"/>
  <c r="G92" i="4" s="1"/>
  <c r="D81" i="4" a="1"/>
  <c r="J71" i="4"/>
  <c r="J177" i="4"/>
  <c r="J169" i="4"/>
  <c r="J178" i="4" s="1"/>
  <c r="D125" i="4"/>
  <c r="G125" i="4" s="1"/>
  <c r="J241" i="4"/>
  <c r="J247" i="4" s="1"/>
  <c r="J272" i="4"/>
  <c r="D136" i="4"/>
  <c r="G136" i="4" s="1"/>
  <c r="D114" i="4"/>
  <c r="G114" i="4" s="1"/>
  <c r="D103" i="4"/>
  <c r="G103" i="4" s="1"/>
  <c r="I241" i="4"/>
  <c r="I247" i="4" s="1"/>
  <c r="I272" i="4"/>
  <c r="I177" i="4"/>
  <c r="I169" i="4"/>
  <c r="I178" i="4" s="1"/>
  <c r="I179" i="4" s="1"/>
  <c r="I11" i="8" s="1"/>
  <c r="H103" i="4" l="1"/>
  <c r="G108" i="4"/>
  <c r="H114" i="4"/>
  <c r="G119" i="4"/>
  <c r="H136" i="4"/>
  <c r="G141" i="4"/>
  <c r="H125" i="4"/>
  <c r="G130" i="4"/>
  <c r="J179" i="4"/>
  <c r="J11" i="8" s="1"/>
  <c r="D81" i="4"/>
  <c r="G81" i="4" s="1"/>
  <c r="H92" i="4"/>
  <c r="G97" i="4"/>
  <c r="I92" i="4" l="1"/>
  <c r="H81" i="4"/>
  <c r="G86" i="4"/>
  <c r="I125" i="4"/>
  <c r="G143" i="4"/>
  <c r="I136" i="4"/>
  <c r="I114" i="4"/>
  <c r="I103" i="4"/>
  <c r="J103" i="4" l="1"/>
  <c r="J114" i="4"/>
  <c r="J136" i="4"/>
  <c r="G192" i="4"/>
  <c r="G58" i="4"/>
  <c r="J125" i="4"/>
  <c r="I81" i="4"/>
  <c r="J92" i="4"/>
  <c r="J81" i="4" l="1"/>
  <c r="G226" i="4"/>
  <c r="G227" i="4" s="1"/>
  <c r="G277" i="4" s="1"/>
  <c r="G59" i="4"/>
  <c r="G9" i="8"/>
  <c r="G195" i="4"/>
  <c r="G196" i="4" s="1"/>
  <c r="G203" i="4" s="1"/>
  <c r="G204" i="4" s="1"/>
  <c r="G206" i="4" s="1"/>
  <c r="G266" i="4"/>
  <c r="G267" i="4" s="1"/>
  <c r="F232" i="4"/>
  <c r="G8" i="8" l="1"/>
  <c r="G265" i="4"/>
  <c r="G275" i="4" s="1"/>
  <c r="G251" i="4"/>
  <c r="G10" i="8"/>
  <c r="G283" i="4"/>
  <c r="G302" i="4" l="1"/>
  <c r="G254" i="4"/>
  <c r="G256" i="4" s="1"/>
  <c r="G258" i="4" s="1"/>
  <c r="G214" i="4" s="1"/>
  <c r="G13" i="8"/>
  <c r="G15" i="8" s="1"/>
  <c r="G22" i="8"/>
  <c r="G24" i="8" s="1"/>
  <c r="G223" i="4" l="1"/>
  <c r="G232" i="4" s="1"/>
  <c r="G12" i="8"/>
  <c r="D140" i="4" l="1"/>
  <c r="D139" i="4"/>
  <c r="J139" i="4" s="1"/>
  <c r="D138" i="4"/>
  <c r="I138" i="4" s="1"/>
  <c r="J138" i="4" s="1"/>
  <c r="D137" i="4"/>
  <c r="H137" i="4" s="1"/>
  <c r="C140" i="4"/>
  <c r="C139" i="4"/>
  <c r="C138" i="4"/>
  <c r="C137" i="4"/>
  <c r="D129" i="4"/>
  <c r="D128" i="4"/>
  <c r="J128" i="4" s="1"/>
  <c r="D127" i="4"/>
  <c r="I127" i="4" s="1"/>
  <c r="J127" i="4" s="1"/>
  <c r="D126" i="4"/>
  <c r="H126" i="4" s="1"/>
  <c r="C129" i="4"/>
  <c r="C128" i="4"/>
  <c r="C127" i="4"/>
  <c r="C126" i="4"/>
  <c r="D118" i="4"/>
  <c r="D117" i="4"/>
  <c r="J117" i="4" s="1"/>
  <c r="D116" i="4"/>
  <c r="I116" i="4" s="1"/>
  <c r="J116" i="4" s="1"/>
  <c r="D115" i="4"/>
  <c r="H115" i="4" s="1"/>
  <c r="C118" i="4"/>
  <c r="C117" i="4"/>
  <c r="C116" i="4"/>
  <c r="C115" i="4"/>
  <c r="D107" i="4"/>
  <c r="D106" i="4"/>
  <c r="J106" i="4" s="1"/>
  <c r="D105" i="4"/>
  <c r="I105" i="4" s="1"/>
  <c r="J105" i="4" s="1"/>
  <c r="D104" i="4"/>
  <c r="H104" i="4" s="1"/>
  <c r="C107" i="4"/>
  <c r="C106" i="4"/>
  <c r="C105" i="4"/>
  <c r="C104" i="4"/>
  <c r="D96" i="4"/>
  <c r="D95" i="4"/>
  <c r="J95" i="4" s="1"/>
  <c r="D94" i="4"/>
  <c r="I94" i="4" s="1"/>
  <c r="J94" i="4" s="1"/>
  <c r="D93" i="4"/>
  <c r="H93" i="4" s="1"/>
  <c r="C96" i="4"/>
  <c r="C95" i="4"/>
  <c r="C94" i="4"/>
  <c r="C93" i="4"/>
  <c r="D85" i="4"/>
  <c r="D84" i="4"/>
  <c r="J84" i="4" s="1"/>
  <c r="D83" i="4"/>
  <c r="I83" i="4" s="1"/>
  <c r="J83" i="4" s="1"/>
  <c r="D82" i="4"/>
  <c r="H82" i="4" s="1"/>
  <c r="C85" i="4"/>
  <c r="C84" i="4"/>
  <c r="C83" i="4"/>
  <c r="C82" i="4"/>
  <c r="V42" i="3"/>
  <c r="U42" i="3"/>
  <c r="T42" i="3"/>
  <c r="S42" i="3"/>
  <c r="R42" i="3"/>
  <c r="V40" i="3"/>
  <c r="U40" i="3"/>
  <c r="T40" i="3"/>
  <c r="S40" i="3"/>
  <c r="R40" i="3"/>
  <c r="I82" i="4" l="1"/>
  <c r="H86" i="4"/>
  <c r="I93" i="4"/>
  <c r="H97" i="4"/>
  <c r="I104" i="4"/>
  <c r="H108" i="4"/>
  <c r="I115" i="4"/>
  <c r="H119" i="4"/>
  <c r="I126" i="4"/>
  <c r="H130" i="4"/>
  <c r="I137" i="4"/>
  <c r="H141" i="4"/>
  <c r="J93" i="4" l="1"/>
  <c r="J97" i="4" s="1"/>
  <c r="I97" i="4"/>
  <c r="J115" i="4"/>
  <c r="J119" i="4" s="1"/>
  <c r="I119" i="4"/>
  <c r="J104" i="4"/>
  <c r="J108" i="4" s="1"/>
  <c r="I108" i="4"/>
  <c r="H143" i="4"/>
  <c r="J137" i="4"/>
  <c r="J141" i="4" s="1"/>
  <c r="I141" i="4"/>
  <c r="J126" i="4"/>
  <c r="J130" i="4" s="1"/>
  <c r="I130" i="4"/>
  <c r="J82" i="4"/>
  <c r="J86" i="4" s="1"/>
  <c r="I86" i="4"/>
  <c r="I143" i="4" l="1"/>
  <c r="I192" i="4" s="1"/>
  <c r="I195" i="4"/>
  <c r="I196" i="4" s="1"/>
  <c r="I203" i="4" s="1"/>
  <c r="I204" i="4" s="1"/>
  <c r="I206" i="4" s="1"/>
  <c r="I266" i="4"/>
  <c r="I267" i="4" s="1"/>
  <c r="I9" i="8"/>
  <c r="H192" i="4"/>
  <c r="H58" i="4"/>
  <c r="J143" i="4"/>
  <c r="J192" i="4" s="1"/>
  <c r="H9" i="8" l="1"/>
  <c r="H266" i="4"/>
  <c r="H267" i="4" s="1"/>
  <c r="H195" i="4"/>
  <c r="H196" i="4" s="1"/>
  <c r="H203" i="4" s="1"/>
  <c r="H204" i="4" s="1"/>
  <c r="H206" i="4" s="1"/>
  <c r="J195" i="4"/>
  <c r="J196" i="4" s="1"/>
  <c r="J203" i="4" s="1"/>
  <c r="J204" i="4" s="1"/>
  <c r="J206" i="4" s="1"/>
  <c r="J266" i="4"/>
  <c r="J267" i="4" s="1"/>
  <c r="J9" i="8"/>
  <c r="I58" i="4"/>
  <c r="H59" i="4"/>
  <c r="H226" i="4"/>
  <c r="H227" i="4" s="1"/>
  <c r="H277" i="4" s="1"/>
  <c r="I265" i="4"/>
  <c r="I275" i="4" s="1"/>
  <c r="I8" i="8"/>
  <c r="J265" i="4" l="1"/>
  <c r="J275" i="4" s="1"/>
  <c r="J8" i="8"/>
  <c r="H8" i="8"/>
  <c r="H265" i="4"/>
  <c r="H275" i="4" s="1"/>
  <c r="H251" i="4"/>
  <c r="I226" i="4"/>
  <c r="I227" i="4" s="1"/>
  <c r="I277" i="4" s="1"/>
  <c r="I59" i="4"/>
  <c r="J58" i="4"/>
  <c r="H10" i="8"/>
  <c r="H283" i="4"/>
  <c r="H302" i="4" l="1"/>
  <c r="I283" i="4"/>
  <c r="I302" i="4" s="1"/>
  <c r="I10" i="8"/>
  <c r="H254" i="4"/>
  <c r="H256" i="4" s="1"/>
  <c r="H258" i="4" s="1"/>
  <c r="H214" i="4" s="1"/>
  <c r="I251" i="4"/>
  <c r="J226" i="4"/>
  <c r="J227" i="4" s="1"/>
  <c r="J277" i="4" s="1"/>
  <c r="J59" i="4"/>
  <c r="H22" i="8"/>
  <c r="H24" i="8" s="1"/>
  <c r="H13" i="8"/>
  <c r="H15" i="8" s="1"/>
  <c r="J251" i="4" l="1"/>
  <c r="J254" i="4" s="1"/>
  <c r="J256" i="4" s="1"/>
  <c r="J258" i="4" s="1"/>
  <c r="J214" i="4" s="1"/>
  <c r="I254" i="4"/>
  <c r="I256" i="4" s="1"/>
  <c r="I258" i="4" s="1"/>
  <c r="I214" i="4" s="1"/>
  <c r="H12" i="8"/>
  <c r="H223" i="4"/>
  <c r="H232" i="4" s="1"/>
  <c r="I13" i="8"/>
  <c r="I15" i="8" s="1"/>
  <c r="I22" i="8"/>
  <c r="I24" i="8" s="1"/>
  <c r="J283" i="4"/>
  <c r="J302" i="4" s="1"/>
  <c r="J10" i="8"/>
  <c r="J13" i="8" l="1"/>
  <c r="J14" i="8" s="1"/>
  <c r="J15" i="8" s="1"/>
  <c r="E16" i="8" s="1"/>
  <c r="E18" i="8" s="1"/>
  <c r="J22" i="8"/>
  <c r="J23" i="8" s="1"/>
  <c r="J24" i="8" s="1"/>
  <c r="E25" i="8" s="1"/>
  <c r="E27" i="8" s="1"/>
  <c r="E29" i="8" s="1"/>
  <c r="E33" i="8" s="1"/>
  <c r="I223" i="4"/>
  <c r="I232" i="4" s="1"/>
  <c r="I12" i="8"/>
  <c r="J223" i="4"/>
  <c r="J232" i="4" s="1"/>
  <c r="J12" i="8"/>
</calcChain>
</file>

<file path=xl/comments1.xml><?xml version="1.0" encoding="utf-8"?>
<comments xmlns="http://schemas.openxmlformats.org/spreadsheetml/2006/main">
  <authors>
    <author>Alexandra Wang</author>
  </authors>
  <commentList>
    <comment ref="B8" authorId="0" shapeId="0">
      <text>
        <r>
          <rPr>
            <b/>
            <sz val="10"/>
            <color rgb="FF000000"/>
            <rFont val="Tahoma"/>
            <family val="2"/>
          </rPr>
          <t>Alexandra Wang: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probabilities are assigned in accordance with probablity of economic upside and downside</t>
        </r>
      </text>
    </comment>
  </commentList>
</comments>
</file>

<file path=xl/comments2.xml><?xml version="1.0" encoding="utf-8"?>
<comments xmlns="http://schemas.openxmlformats.org/spreadsheetml/2006/main">
  <authors>
    <author>Tolulope Enitan Oluwabunmi</author>
  </authors>
  <commentList>
    <comment ref="I29" authorId="0" shapeId="0">
      <text>
        <r>
          <rPr>
            <b/>
            <sz val="9"/>
            <color indexed="81"/>
            <rFont val="Tahoma"/>
            <family val="2"/>
          </rPr>
          <t>Tolulope Enitan Oluwabunmi:</t>
        </r>
        <r>
          <rPr>
            <sz val="9"/>
            <color indexed="81"/>
            <rFont val="Tahoma"/>
            <family val="2"/>
          </rPr>
          <t xml:space="preserve">
I assumed -10% because that is realistic compared to to the average calculated which is over 2000%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<sst xmlns="http://schemas.openxmlformats.org/spreadsheetml/2006/main" count="2384" uniqueCount="796">
  <si>
    <r>
      <t xml:space="preserve">              </t>
    </r>
    <r>
      <rPr>
        <i/>
        <sz val="12"/>
        <color rgb="FF0E2841"/>
        <rFont val="Times New Roman"/>
        <family val="1"/>
      </rPr>
      <t>Submitted by:                                                                            Submitted to:</t>
    </r>
  </si>
  <si>
    <t>Tolulope Oluwabunmi</t>
  </si>
  <si>
    <t>Hamza Abdurezak, PhD., FRM</t>
  </si>
  <si>
    <t>Financial Model</t>
  </si>
  <si>
    <t>SUMMARY  RESULTS</t>
  </si>
  <si>
    <t>DCF VALUATION</t>
  </si>
  <si>
    <t>Scenarios</t>
  </si>
  <si>
    <t>Assumed Probablities</t>
  </si>
  <si>
    <t>Enterprise Values</t>
  </si>
  <si>
    <t>Equity Values</t>
  </si>
  <si>
    <t>Value Per Share</t>
  </si>
  <si>
    <t>Market Price</t>
  </si>
  <si>
    <t>52 Week Range: 82.11 - 134.12</t>
  </si>
  <si>
    <t>Base Case</t>
  </si>
  <si>
    <t>Recommendation:</t>
  </si>
  <si>
    <t>HOLD</t>
  </si>
  <si>
    <t>Best Case</t>
  </si>
  <si>
    <t>Worst Case</t>
  </si>
  <si>
    <t>Expected Value</t>
  </si>
  <si>
    <t>Multiple Based Valuation, Value per share</t>
  </si>
  <si>
    <t xml:space="preserve"> P/E Multiple</t>
  </si>
  <si>
    <t>EBITDA Multiple</t>
  </si>
  <si>
    <t xml:space="preserve"> Revenue Multiple</t>
  </si>
  <si>
    <t>Trading Multiples ( The average of the top Comparables)</t>
  </si>
  <si>
    <t xml:space="preserve">NTM TEV/Forward Total Revenue (Capital IQ) </t>
  </si>
  <si>
    <t xml:space="preserve">NTM TEV/Forward EBITDA (Capital IQ) </t>
  </si>
  <si>
    <t xml:space="preserve">NTM Forward P/E (Capital IQ) </t>
  </si>
  <si>
    <t>DETAILED SEGMENT DATA (in thousands)</t>
  </si>
  <si>
    <t>Revenue</t>
  </si>
  <si>
    <t>Average</t>
  </si>
  <si>
    <t>UCAN Streaming Revenue</t>
  </si>
  <si>
    <t>EMEA Streaming Revenue</t>
  </si>
  <si>
    <t>LATAM Streaming Revenue</t>
  </si>
  <si>
    <t>APAC Streaming Revenue</t>
  </si>
  <si>
    <t>Total Streaming Revenue</t>
  </si>
  <si>
    <t>DVD REVENUE</t>
  </si>
  <si>
    <t>Because it has been discontinued</t>
  </si>
  <si>
    <t>Total Revenue</t>
  </si>
  <si>
    <t>Operating Income</t>
  </si>
  <si>
    <t>Operating margin</t>
  </si>
  <si>
    <t>Paid net membership additions</t>
  </si>
  <si>
    <t>Paid memberships at end of period</t>
  </si>
  <si>
    <t>Average paying memberships</t>
  </si>
  <si>
    <t>Average monthly revenue per paying membership</t>
  </si>
  <si>
    <t>Cost of Revenues</t>
  </si>
  <si>
    <t>Operating Expense</t>
  </si>
  <si>
    <t>Sales and Marketing</t>
  </si>
  <si>
    <t>Technology and development</t>
  </si>
  <si>
    <t>General and administrative</t>
  </si>
  <si>
    <t>Interest Expense</t>
  </si>
  <si>
    <t>CAPITAL EXPENDITURE (in thousands)</t>
  </si>
  <si>
    <t>Land</t>
  </si>
  <si>
    <t>Building</t>
  </si>
  <si>
    <t>Leasehold improvements</t>
  </si>
  <si>
    <t>Furniture and fixtures</t>
  </si>
  <si>
    <t>Information technology</t>
  </si>
  <si>
    <t>Corporate aircraft</t>
  </si>
  <si>
    <t>Machinery and Equipment</t>
  </si>
  <si>
    <t>Capital work-in-progress</t>
  </si>
  <si>
    <t>WORKING CAPITAL (in millions)</t>
  </si>
  <si>
    <t>Accounts Receivable</t>
  </si>
  <si>
    <t>Other Receivables</t>
  </si>
  <si>
    <t>-</t>
  </si>
  <si>
    <t>Prepaid Exp.</t>
  </si>
  <si>
    <t>Other Current Assets</t>
  </si>
  <si>
    <t>Accounts Payable</t>
  </si>
  <si>
    <t>Accrued Exp.</t>
  </si>
  <si>
    <t>Curr. Port. of LT Debt</t>
  </si>
  <si>
    <t>Curr. Port. of Leases</t>
  </si>
  <si>
    <t>Unearned Revenue, Current</t>
  </si>
  <si>
    <t>Other Current Liabilities</t>
  </si>
  <si>
    <t>Working Capital excluding cash and short term investments</t>
  </si>
  <si>
    <t xml:space="preserve">  Total Cash &amp; ST Investments</t>
  </si>
  <si>
    <t>Working Capital including cash and short term investments</t>
  </si>
  <si>
    <t>CONTRACTUAL COMMITMENTS(in thousands)</t>
  </si>
  <si>
    <t>After 2029</t>
  </si>
  <si>
    <t>Content Obligations</t>
  </si>
  <si>
    <t>Debt</t>
  </si>
  <si>
    <t>Operating Lease</t>
  </si>
  <si>
    <t>Total</t>
  </si>
  <si>
    <t>LONG TERM DEBT(INCLUDING CAPITALIZED LEASE OBLIGATION) AND INTEREST RATE (in millions)</t>
  </si>
  <si>
    <t>Long-Term Debt</t>
  </si>
  <si>
    <t>Long-Term Leases</t>
  </si>
  <si>
    <t xml:space="preserve">TOTAL LONG TERM DEBT(INCLUDING CAPITALIZED LEASE OBLIGATION) </t>
  </si>
  <si>
    <t>Fixed Payment Schedule</t>
  </si>
  <si>
    <t>LT Debt (Incl. Cap. Leases) Due +1</t>
  </si>
  <si>
    <t>LT Debt (Incl. Cap. Leases) Due +2</t>
  </si>
  <si>
    <t>LT Debt (Incl. Cap. Leases) Due +3</t>
  </si>
  <si>
    <t>LT Debt (Incl. Cap. Leases) Due +4</t>
  </si>
  <si>
    <t>LT Debt (Incl. Cap. Leases) Due, Next 5 Yrs</t>
  </si>
  <si>
    <t>LT Debt (Incl. Cap. Leases) Due, After 5 Yrs</t>
  </si>
  <si>
    <t>Cap. Lease Payment Due, After 5 Yrs</t>
  </si>
  <si>
    <t>Operating Lease Commitment Due +1</t>
  </si>
  <si>
    <t>Operating Lease Commitment Due +2</t>
  </si>
  <si>
    <t>Operating Lease Commitment Due +3</t>
  </si>
  <si>
    <t>Operating Lease Commitment Due +4</t>
  </si>
  <si>
    <t>Operating Lease Commitment Due +5</t>
  </si>
  <si>
    <t>Operating Lease Commitment Due, Next 5 Yrs</t>
  </si>
  <si>
    <t>Operating Lease Commitment Due, After 5 Yrs</t>
  </si>
  <si>
    <t>Contractual Obligations Due +1</t>
  </si>
  <si>
    <t>Contractual Obligations Due + 2</t>
  </si>
  <si>
    <t>Contractual Obligations Due + 3</t>
  </si>
  <si>
    <t>Contractual Obligations Due + 4</t>
  </si>
  <si>
    <t>Contractual Obligations Due, Next 5 Yrs</t>
  </si>
  <si>
    <t>Contractual Obligations Due, After 5 Yrs</t>
  </si>
  <si>
    <t>Total Contractual Obligations</t>
  </si>
  <si>
    <t>Interest Rate Data</t>
  </si>
  <si>
    <t>Jan-27-2025</t>
  </si>
  <si>
    <t>Filing Date</t>
  </si>
  <si>
    <t>Netflix, Inc. (NasdaqGS:NFLX) &gt; Financials &gt; Segments</t>
  </si>
  <si>
    <t>In Millions of the reported currency.</t>
  </si>
  <si>
    <t>View By:</t>
  </si>
  <si>
    <t>Line Items</t>
  </si>
  <si>
    <t> </t>
  </si>
  <si>
    <t>Restatement:</t>
  </si>
  <si>
    <t>Latest Filings</t>
  </si>
  <si>
    <t>Period Type:</t>
  </si>
  <si>
    <t>Annual</t>
  </si>
  <si>
    <t>Order:</t>
  </si>
  <si>
    <t>Latest on Right</t>
  </si>
  <si>
    <t>Currency:</t>
  </si>
  <si>
    <t>Reported Currency</t>
  </si>
  <si>
    <t>Conversion:</t>
  </si>
  <si>
    <t>Historical</t>
  </si>
  <si>
    <t>Units:</t>
  </si>
  <si>
    <t>S&amp;P Capital IQ (Default)</t>
  </si>
  <si>
    <t>Decimals:</t>
  </si>
  <si>
    <t>Capital IQ (Default)</t>
  </si>
  <si>
    <t>Business Segments</t>
  </si>
  <si>
    <t xml:space="preserve">For the Fiscal Period Ending
</t>
  </si>
  <si>
    <t>12 months
Dec-31-2019</t>
  </si>
  <si>
    <t>12 months
Dec-31-2020</t>
  </si>
  <si>
    <t>12 months
Dec-31-2021</t>
  </si>
  <si>
    <t>12 months
Dec-31-2022</t>
  </si>
  <si>
    <t>12 months
Dec-31-2023</t>
  </si>
  <si>
    <t>12 months
Dec-31-2024</t>
  </si>
  <si>
    <t>Currency</t>
  </si>
  <si>
    <t>USD</t>
  </si>
  <si>
    <t>Revenues</t>
  </si>
  <si>
    <t>Streaming Entertainment Service</t>
  </si>
  <si>
    <t xml:space="preserve">  Total Revenues</t>
  </si>
  <si>
    <t xml:space="preserve">  Total Operating Profit Before Tax</t>
  </si>
  <si>
    <t xml:space="preserve">  Total Interest Expense</t>
  </si>
  <si>
    <t>Net Profit Before Tax</t>
  </si>
  <si>
    <t xml:space="preserve">  Total Net Profit Before Tax</t>
  </si>
  <si>
    <t>Tax Expense</t>
  </si>
  <si>
    <t xml:space="preserve">  Total Tax Expense</t>
  </si>
  <si>
    <t>Net Profit After Tax</t>
  </si>
  <si>
    <t xml:space="preserve">  Total Net Profit After Tax</t>
  </si>
  <si>
    <t>Assets</t>
  </si>
  <si>
    <t xml:space="preserve">  Total Assets</t>
  </si>
  <si>
    <t>Depreciation &amp; Amortization</t>
  </si>
  <si>
    <t xml:space="preserve">  Total Depreciation &amp; Amortization</t>
  </si>
  <si>
    <t>Capital Expenditure</t>
  </si>
  <si>
    <t xml:space="preserve">  Total Capital Expenditure</t>
  </si>
  <si>
    <t xml:space="preserve"> </t>
  </si>
  <si>
    <t>Geographic Segments</t>
  </si>
  <si>
    <t>United States and Canada (UCAN)</t>
  </si>
  <si>
    <t>Europe, Middle East, and Africa (EMEA)</t>
  </si>
  <si>
    <t>Latin America (LATAM)</t>
  </si>
  <si>
    <t>Asia-Pacific (APAC)</t>
  </si>
  <si>
    <t>United States</t>
  </si>
  <si>
    <t>International</t>
  </si>
  <si>
    <t>Netflix, Inc. (NasdaqGS:NFLX) &gt; Financials &gt; Income Statement</t>
  </si>
  <si>
    <t>In Millions of the reported currency, except per share items.</t>
  </si>
  <si>
    <t>Template:</t>
  </si>
  <si>
    <t>Standard</t>
  </si>
  <si>
    <t>Source:</t>
  </si>
  <si>
    <t>Capital IQ &amp; Proprietary Data</t>
  </si>
  <si>
    <t>Income Statement</t>
  </si>
  <si>
    <t>LTM
12 months
Sep-30-2025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</si>
  <si>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</si>
  <si>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</si>
  <si>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</si>
  <si>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</si>
  <si>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</si>
  <si>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</si>
  <si>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</si>
  <si>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Other Operating Expense/(Income)</t>
  </si>
  <si>
    <t xml:space="preserve">  Other Operating Exp., Total</t>
  </si>
  <si>
    <t xml:space="preserve">  Operating Income</t>
  </si>
  <si>
    <t>Interest and Invest. Income</t>
  </si>
  <si>
    <t xml:space="preserve">  Net Interest Exp.</t>
  </si>
  <si>
    <t>Currency Exchange Gains (Loss)</t>
  </si>
  <si>
    <t>Other Non-Operating Inc. (Exp.)</t>
  </si>
  <si>
    <t xml:space="preserve">  EBT Excl. Unusual Items</t>
  </si>
  <si>
    <t>Impairment of Goodwill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</si>
  <si>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</si>
  <si>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</si>
  <si>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</si>
  <si>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</si>
  <si>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</si>
  <si>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</si>
  <si>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</si>
  <si>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</si>
  <si>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</si>
  <si>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</si>
  <si>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</si>
  <si>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</si>
  <si>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</si>
  <si>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</si>
  <si>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</si>
  <si>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</si>
  <si>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</si>
  <si>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</si>
  <si>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</si>
  <si>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</si>
  <si>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</si>
  <si>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Dividends per Share</t>
  </si>
  <si>
    <t>NA</t>
  </si>
  <si>
    <t>Shares per Depository Receipt</t>
  </si>
  <si>
    <t>Supplemental Items</t>
  </si>
  <si>
    <t>EBITDA</t>
  </si>
  <si>
    <t>EBITA</t>
  </si>
  <si>
    <t>EBIT</t>
  </si>
  <si>
    <t>EBITDAR</t>
  </si>
  <si>
    <t>Effective Tax Rate %</t>
  </si>
  <si>
    <t>Current Domestic Taxes</t>
  </si>
  <si>
    <t>Current Foreign Taxes</t>
  </si>
  <si>
    <t>Total Current Taxes</t>
  </si>
  <si>
    <t>Deferred Domestic Taxes</t>
  </si>
  <si>
    <t>Deferred Foreign Taxes</t>
  </si>
  <si>
    <t>Total Deferred Taxes</t>
  </si>
  <si>
    <t>Normalized Net Income</t>
  </si>
  <si>
    <t>Interest on Long Term Debt</t>
  </si>
  <si>
    <t>Restatement Type</t>
  </si>
  <si>
    <t>NC</t>
  </si>
  <si>
    <t>O</t>
  </si>
  <si>
    <t>Calculation Type</t>
  </si>
  <si>
    <t>REP</t>
  </si>
  <si>
    <t>LTM</t>
  </si>
  <si>
    <t>Supplemental Operating Expense Items</t>
  </si>
  <si>
    <t>Advertising Exp.</t>
  </si>
  <si>
    <t>Marketing Exp.</t>
  </si>
  <si>
    <t>Selling and Marketing Exp.</t>
  </si>
  <si>
    <t>General and Administrative Exp.</t>
  </si>
  <si>
    <t>R&amp;D Exp.</t>
  </si>
  <si>
    <t>Net Rental Exp.</t>
  </si>
  <si>
    <t>Imputed Oper. Lease Interest Exp.</t>
  </si>
  <si>
    <t>Imputed Oper. Lease Depreciation</t>
  </si>
  <si>
    <t>Stock-Based Comp., Unallocated</t>
  </si>
  <si>
    <t xml:space="preserve">  Stock-Based Comp., Total</t>
  </si>
  <si>
    <t>Netflix, Inc. (NasdaqGS:NFLX) &gt; Financials &gt; Balance Sheet</t>
  </si>
  <si>
    <t>Balance Sheet</t>
  </si>
  <si>
    <t xml:space="preserve">Balance Sheet as of:
</t>
  </si>
  <si>
    <t>Reclassified
Dec-31-2019</t>
  </si>
  <si>
    <t>ASSETS</t>
  </si>
  <si>
    <t>Cash And Equivalents</t>
  </si>
  <si>
    <t>Short Term Investments</t>
  </si>
  <si>
    <t xml:space="preserve">  Total Receivables</t>
  </si>
  <si>
    <t>Restricted Cash</t>
  </si>
  <si>
    <t xml:space="preserve">  Total Current Assets</t>
  </si>
  <si>
    <t>Gross Property, Plant &amp; Equipment</t>
  </si>
  <si>
    <t>Accumulated Depreciation</t>
  </si>
  <si>
    <t xml:space="preserve">  Net Property, Plant &amp; Equipment</t>
  </si>
  <si>
    <t>Other Intangibles</t>
  </si>
  <si>
    <t>Deferred Tax Assets, LT</t>
  </si>
  <si>
    <t>Other Long-Term Assets</t>
  </si>
  <si>
    <t>Total Assets</t>
  </si>
  <si>
    <t>LIABILITIES</t>
  </si>
  <si>
    <t xml:space="preserve">  Total Current Liabilities</t>
  </si>
  <si>
    <t>Def. Tax Liability, Non-Curr.</t>
  </si>
  <si>
    <t>Other Non-Current Liabilities</t>
  </si>
  <si>
    <t>Total Liabilities</t>
  </si>
  <si>
    <t>Common Stock</t>
  </si>
  <si>
    <t>Additional Paid In Capital</t>
  </si>
  <si>
    <t>Retained Earnings</t>
  </si>
  <si>
    <t>Treasury Stock</t>
  </si>
  <si>
    <t>Comprehensive Inc. and Other</t>
  </si>
  <si>
    <t xml:space="preserve">  Total Common Equity</t>
  </si>
  <si>
    <t>Total Equity</t>
  </si>
  <si>
    <t>Total Liabilities And Equity</t>
  </si>
  <si>
    <t>Total Shares Out. on Filing Date</t>
  </si>
  <si>
    <t>Total Shares Out. on Balance Sheet Date</t>
  </si>
  <si>
    <t>Book Value/Share</t>
  </si>
  <si>
    <t>Tangible Book Value</t>
  </si>
  <si>
    <t>Tangible Book Value/Share</t>
  </si>
  <si>
    <t>Total Debt</t>
  </si>
  <si>
    <t>Net Debt</t>
  </si>
  <si>
    <t>Debt Equivalent Oper. Leases</t>
  </si>
  <si>
    <t>Inventory Method</t>
  </si>
  <si>
    <t>Buildings</t>
  </si>
  <si>
    <t>Machinery</t>
  </si>
  <si>
    <t>Construction in Progress</t>
  </si>
  <si>
    <t>Leasehold Improvements</t>
  </si>
  <si>
    <t>Full Time Employees</t>
  </si>
  <si>
    <t>RD</t>
  </si>
  <si>
    <t>RUP</t>
  </si>
  <si>
    <t>Netflix, Inc. (NasdaqGS:NFLX) &gt; Financials &gt; Cash Flow</t>
  </si>
  <si>
    <t>Cash Flow</t>
  </si>
  <si>
    <t>Net Income</t>
  </si>
  <si>
    <t>Depreciation &amp; Amort., Total</t>
  </si>
  <si>
    <t>Other Amortization</t>
  </si>
  <si>
    <t>Stock-Based Compensation</t>
  </si>
  <si>
    <t>Other Operating Activities</t>
  </si>
  <si>
    <t>Change in Acc. Payable</t>
  </si>
  <si>
    <t>Change in Unearned Rev.</t>
  </si>
  <si>
    <t>Change in Other Net Operating Assets</t>
  </si>
  <si>
    <t xml:space="preserve">  Cash from Ops.</t>
  </si>
  <si>
    <t>Cash Acquisitions</t>
  </si>
  <si>
    <t>Divestitures</t>
  </si>
  <si>
    <t>Invest. in Marketable &amp; Equity Securt.</t>
  </si>
  <si>
    <t>Net (Inc.) Dec. in Loans Originated/Sold</t>
  </si>
  <si>
    <t>Other Investing Activities</t>
  </si>
  <si>
    <t xml:space="preserve">  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</si>
  <si>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</si>
  <si>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</si>
  <si>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</si>
  <si>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</si>
  <si>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</si>
  <si>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</si>
  <si>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</si>
  <si>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 Stock</t>
  </si>
  <si>
    <t>Total Dividends Paid</t>
  </si>
  <si>
    <t>Special Dividend Paid</t>
  </si>
  <si>
    <t>Other Financing Activities</t>
  </si>
  <si>
    <t xml:space="preserve">  Cash from Financing</t>
  </si>
  <si>
    <t>Foreign Exchange Rate Adj.</t>
  </si>
  <si>
    <t xml:space="preserve">  Net Change in Cash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</si>
  <si>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</si>
  <si>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</si>
  <si>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</si>
  <si>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</si>
  <si>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</si>
  <si>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</si>
  <si>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Valuation Multiples based on Current Capitalization</t>
  </si>
  <si>
    <t>12 months
Dec-31-2024A</t>
  </si>
  <si>
    <t>LTM
12 months
Sep-30-2025A</t>
  </si>
  <si>
    <t>12 months
Dec-31-2025E</t>
  </si>
  <si>
    <t>12 months
Dec-31-2026E</t>
  </si>
  <si>
    <t>12 months
Dec-31-2027E</t>
  </si>
  <si>
    <t>TEV/Total Revenue</t>
  </si>
  <si>
    <t>TEV/EBITDA</t>
  </si>
  <si>
    <t>TEV/EBIT</t>
  </si>
  <si>
    <t>P/Diluted EPS Before Extra</t>
  </si>
  <si>
    <t>P/BV</t>
  </si>
  <si>
    <t>Price/Tang BV</t>
  </si>
  <si>
    <t>Netflix, Inc. (NasdaqGS:NFLX) &gt; Financials &gt; Multiples</t>
  </si>
  <si>
    <t>View:</t>
  </si>
  <si>
    <t>Data</t>
  </si>
  <si>
    <t>Frequency:</t>
  </si>
  <si>
    <t>Quarterly</t>
  </si>
  <si>
    <t>Dilution:</t>
  </si>
  <si>
    <t>Basic</t>
  </si>
  <si>
    <t>Multiples Detail
                     In Millions of the reported currency, except per share items.</t>
  </si>
  <si>
    <t>For Quarter Ending</t>
  </si>
  <si>
    <t>TEV/LTM Total Revenue</t>
  </si>
  <si>
    <t>High</t>
  </si>
  <si>
    <t>Low</t>
  </si>
  <si>
    <t>Close</t>
  </si>
  <si>
    <t>TEV/NTM Total Revenues</t>
  </si>
  <si>
    <t>TEV/LTM EBITDA</t>
  </si>
  <si>
    <t>TEV/NTM EBITDA</t>
  </si>
  <si>
    <t>TEV/LTM EBIT</t>
  </si>
  <si>
    <t>TEV/NTM EBIT</t>
  </si>
  <si>
    <t>P/LTM EPS</t>
  </si>
  <si>
    <t>P/NTM EPS</t>
  </si>
  <si>
    <t>P/LTM Normalized EPS</t>
  </si>
  <si>
    <t>P/Tangible BV</t>
  </si>
  <si>
    <t>NM</t>
  </si>
  <si>
    <t>P/NTM CFPS</t>
  </si>
  <si>
    <t>TEV/LTM Unlevered FCF</t>
  </si>
  <si>
    <t>Market Cap/LTM Levered FCF</t>
  </si>
  <si>
    <t>Netflix, Inc. (NasdaqGS:NFLX) &gt; Financials &gt; Historical Capitalization</t>
  </si>
  <si>
    <t>In Millions of the trading currency, except per share items.</t>
  </si>
  <si>
    <t>Trading Currency</t>
  </si>
  <si>
    <t>Historical Capitalization</t>
  </si>
  <si>
    <t>Pricing as of*</t>
  </si>
  <si>
    <t>Why is 2020? Should be 2024</t>
  </si>
  <si>
    <t>Capitalization Detail</t>
  </si>
  <si>
    <t>Share Price</t>
  </si>
  <si>
    <t>Shares Out.</t>
  </si>
  <si>
    <t>Market Capitalization</t>
  </si>
  <si>
    <t>- Cash &amp; Short Term Investments</t>
  </si>
  <si>
    <t>+ Total Debt</t>
  </si>
  <si>
    <t>+ Pref. Equity</t>
  </si>
  <si>
    <t>+ Total Minority Interest</t>
  </si>
  <si>
    <t>- Long Term Marketable Securities</t>
  </si>
  <si>
    <t>= Total Enterprise Value (TEV)</t>
  </si>
  <si>
    <t>Book Value of Common Equity</t>
  </si>
  <si>
    <t>= Total Capital</t>
  </si>
  <si>
    <t>Netflix, Inc. (NasdaqGS:NFLX) &gt; Financials &gt; Capital Structure Summary</t>
  </si>
  <si>
    <t>In Millions of the reported currency, except ratios and % of Total values.</t>
  </si>
  <si>
    <t>Capital Structure Data</t>
  </si>
  <si>
    <t xml:space="preserve"> For the Fiscal Period Ending
</t>
  </si>
  <si>
    <t xml:space="preserve"> 12 months Dec-31-2019</t>
  </si>
  <si>
    <t xml:space="preserve"> 12 months Dec-31-2020</t>
  </si>
  <si>
    <t xml:space="preserve"> 12 months Dec-31-2021</t>
  </si>
  <si>
    <t xml:space="preserve"> 12 months Dec-31-2022</t>
  </si>
  <si>
    <t xml:space="preserve"> Currency</t>
  </si>
  <si>
    <t xml:space="preserve"> USD</t>
  </si>
  <si>
    <t xml:space="preserve"> Units</t>
  </si>
  <si>
    <t xml:space="preserve"> Millions</t>
  </si>
  <si>
    <t>% of Total</t>
  </si>
  <si>
    <t>Total Common Equity</t>
  </si>
  <si>
    <t xml:space="preserve">  Total Capital</t>
  </si>
  <si>
    <t>Debt Summary Data</t>
  </si>
  <si>
    <t>Total Commercial Paper</t>
  </si>
  <si>
    <t>Total Revolving Credit</t>
  </si>
  <si>
    <t>Total Senior Bonds and Notes</t>
  </si>
  <si>
    <t>Total Lease Liabilities</t>
  </si>
  <si>
    <t xml:space="preserve">  Total Principal Due</t>
  </si>
  <si>
    <t>Total Adjustments</t>
  </si>
  <si>
    <t xml:space="preserve">  Total Debt Outstanding</t>
  </si>
  <si>
    <t>Available Credit</t>
  </si>
  <si>
    <t>Undrawn Commercial Paper</t>
  </si>
  <si>
    <t>Undrawn Revolving Credit</t>
  </si>
  <si>
    <t xml:space="preserve">  Total Undrawn Credit</t>
  </si>
  <si>
    <t>Additional Totals</t>
  </si>
  <si>
    <t>Total Cash &amp; ST Investments</t>
  </si>
  <si>
    <t>Total Senior Debt</t>
  </si>
  <si>
    <t>Curr. Port. of LT Debt/Cap. Leases</t>
  </si>
  <si>
    <t>Long-Term Debt (Incl. Cap. Leases)</t>
  </si>
  <si>
    <t>Total Bank Debt</t>
  </si>
  <si>
    <t>Total Secured Debt</t>
  </si>
  <si>
    <t>Total Senior Secured Debt</t>
  </si>
  <si>
    <t>Total Unsecured Debt</t>
  </si>
  <si>
    <t>Senior Unsecured Bonds and Notes</t>
  </si>
  <si>
    <t>Fixed Rate Debt</t>
  </si>
  <si>
    <t>Variable Rate Debt</t>
  </si>
  <si>
    <t>Credit Ratios</t>
  </si>
  <si>
    <t>Net Debt/EBITDA</t>
  </si>
  <si>
    <t>Total Debt/EBITDA</t>
  </si>
  <si>
    <t>Total Senior Debt/EBITDA</t>
  </si>
  <si>
    <t>Total Senior Secured/EBITDA</t>
  </si>
  <si>
    <t>Net Debt/(EBITDA-CAPEX)</t>
  </si>
  <si>
    <t>Total Debt/(EBITDA-CAPEX)</t>
  </si>
  <si>
    <t>Total Senior Debt/(EBITDA-CAPEX)</t>
  </si>
  <si>
    <t>Total Senior Secured/(EBITDA-CAPEX)</t>
  </si>
  <si>
    <t>LT Debt (Incl. Cap. Leases) Due +5</t>
  </si>
  <si>
    <t>Contractual Obligations Due + 5</t>
  </si>
  <si>
    <t>Netflix, Inc. (NasdaqGS:NFLX) &gt; Financials &gt; Capital Structure Details</t>
  </si>
  <si>
    <t>Principal Due in Millions of the reported currency.</t>
  </si>
  <si>
    <t>A 2024 filed Jan-27-2025</t>
  </si>
  <si>
    <t>FY 2024 (Dec-31-2024) Capital Structure As Reported Details</t>
  </si>
  <si>
    <t>Description</t>
  </si>
  <si>
    <t>Type</t>
  </si>
  <si>
    <t>Principal Due (USD)</t>
  </si>
  <si>
    <t>Coupon/Base Rate</t>
  </si>
  <si>
    <t>Floating Rate</t>
  </si>
  <si>
    <t>Maturity</t>
  </si>
  <si>
    <t>Seniority</t>
  </si>
  <si>
    <t>Secured</t>
  </si>
  <si>
    <t>3.000% Senior Notes</t>
  </si>
  <si>
    <t>Bonds and Notes</t>
  </si>
  <si>
    <t>3.000%</t>
  </si>
  <si>
    <t>Senior</t>
  </si>
  <si>
    <t>No</t>
  </si>
  <si>
    <t>3.625% Senior Notes</t>
  </si>
  <si>
    <t>3.625%</t>
  </si>
  <si>
    <t>3.875% Senior Notes</t>
  </si>
  <si>
    <t>3.875%</t>
  </si>
  <si>
    <t>4.375% Senior Notes</t>
  </si>
  <si>
    <t>4.375%</t>
  </si>
  <si>
    <t>4.625% Senior Notes</t>
  </si>
  <si>
    <t>4.625%</t>
  </si>
  <si>
    <t>4.875% Senior Notes</t>
  </si>
  <si>
    <t>4.875%</t>
  </si>
  <si>
    <t>4.900% Senior Notes</t>
  </si>
  <si>
    <t>4.900%</t>
  </si>
  <si>
    <t>5.375% Senior Notes</t>
  </si>
  <si>
    <t>5.375%</t>
  </si>
  <si>
    <t>5.400% Senior Notes</t>
  </si>
  <si>
    <t>5.400%</t>
  </si>
  <si>
    <t>5.750% Senior Notes</t>
  </si>
  <si>
    <t>5.750%</t>
  </si>
  <si>
    <t>5.875% Senior Notes</t>
  </si>
  <si>
    <t>5.875%</t>
  </si>
  <si>
    <t>6.375% Senior Notes</t>
  </si>
  <si>
    <t>6.375%</t>
  </si>
  <si>
    <t>Operating Lease Liabilities</t>
  </si>
  <si>
    <t>Capital Lease</t>
  </si>
  <si>
    <t>3.500%</t>
  </si>
  <si>
    <t>Yes</t>
  </si>
  <si>
    <t>Unsecured Revolving Credit Facility</t>
  </si>
  <si>
    <t>Revolving Credit</t>
  </si>
  <si>
    <t>Benchmark</t>
  </si>
  <si>
    <t>FY 2023 (Dec-31-2023) Capital Structure As Reported Details</t>
  </si>
  <si>
    <t>Netflix, Inc. (NasdaqGS:NFLX) &gt; Financials &gt; Ratios</t>
  </si>
  <si>
    <t>Ratios</t>
  </si>
  <si>
    <t>Profitability</t>
  </si>
  <si>
    <t xml:space="preserve">  Return on Assets %</t>
  </si>
  <si>
    <t xml:space="preserve">  Return on Capital %</t>
  </si>
  <si>
    <t xml:space="preserve">  Return on Equity %</t>
  </si>
  <si>
    <t xml:space="preserve">  Return on Common Equity %</t>
  </si>
  <si>
    <t>Margin Analysis</t>
  </si>
  <si>
    <t xml:space="preserve">  Gross Margin %</t>
  </si>
  <si>
    <t xml:space="preserve">  SG&amp;A Margin %</t>
  </si>
  <si>
    <t xml:space="preserve">  EBITDA Margin %</t>
  </si>
  <si>
    <t xml:space="preserve">  EBITA Margin %</t>
  </si>
  <si>
    <t xml:space="preserve">  EBIT Margin %</t>
  </si>
  <si>
    <t xml:space="preserve">  Earnings from Cont. Ops Margin %</t>
  </si>
  <si>
    <t xml:space="preserve">  Net Income Margin %</t>
  </si>
  <si>
    <t xml:space="preserve">  Net Income Avail. for Common Margin %</t>
  </si>
  <si>
    <t xml:space="preserve">  Normalized Net Income Margin %</t>
  </si>
  <si>
    <t xml:space="preserve">  Levered Free Cash Flow Margin %</t>
  </si>
  <si>
    <t xml:space="preserve">  Unlevered Free Cash Flow Margin %</t>
  </si>
  <si>
    <t>Asset Turnover</t>
  </si>
  <si>
    <t xml:space="preserve">  Total Asset Turnover</t>
  </si>
  <si>
    <t xml:space="preserve">  Fixed Asset Turnover</t>
  </si>
  <si>
    <t xml:space="preserve">  Accounts Receivable Turnover</t>
  </si>
  <si>
    <t xml:space="preserve">  Inventory Turnover</t>
  </si>
  <si>
    <t>Short Term Liquidity</t>
  </si>
  <si>
    <t xml:space="preserve">  Current Ratio</t>
  </si>
  <si>
    <t xml:space="preserve">  Quick Ratio</t>
  </si>
  <si>
    <t xml:space="preserve">  Cash from Ops. to Curr. Liab.</t>
  </si>
  <si>
    <t xml:space="preserve">  Avg. Days Sales Out.</t>
  </si>
  <si>
    <t xml:space="preserve">  Avg. Days Inventory Out.</t>
  </si>
  <si>
    <t xml:space="preserve">  Avg. Days Payable Out.</t>
  </si>
  <si>
    <t xml:space="preserve">  Avg. Cash Conversion Cycle</t>
  </si>
  <si>
    <t>Long Term Solvency</t>
  </si>
  <si>
    <t xml:space="preserve">  Total Debt/Equity</t>
  </si>
  <si>
    <t xml:space="preserve">  Total Debt/Capital</t>
  </si>
  <si>
    <t xml:space="preserve">  LT Debt/Equity</t>
  </si>
  <si>
    <t xml:space="preserve">  LT Debt/Capital</t>
  </si>
  <si>
    <t xml:space="preserve">  Total Liabilities/Total Assets</t>
  </si>
  <si>
    <t xml:space="preserve">  EBIT / Interest Exp.</t>
  </si>
  <si>
    <t xml:space="preserve">  EBITDA / Interest Exp.</t>
  </si>
  <si>
    <t xml:space="preserve">  (EBITDA-CAPEX) / Interest Exp.</t>
  </si>
  <si>
    <t xml:space="preserve">  Total Debt/EBITDA</t>
  </si>
  <si>
    <t xml:space="preserve">  Net Debt/EBITDA</t>
  </si>
  <si>
    <t xml:space="preserve">  Total Debt/(EBITDA-CAPEX)</t>
  </si>
  <si>
    <t xml:space="preserve">  Net Debt/(EBITDA-CAPEX)</t>
  </si>
  <si>
    <t xml:space="preserve">  Altman Z Score</t>
  </si>
  <si>
    <t>Growth Over Prior Year</t>
  </si>
  <si>
    <t xml:space="preserve">  EBITDA</t>
  </si>
  <si>
    <t xml:space="preserve">  EBITA</t>
  </si>
  <si>
    <t xml:space="preserve">  EBIT</t>
  </si>
  <si>
    <t xml:space="preserve">  Normalized Net Income</t>
  </si>
  <si>
    <t xml:space="preserve">  Diluted EPS before Extra</t>
  </si>
  <si>
    <t xml:space="preserve">  Accounts Receivable</t>
  </si>
  <si>
    <t xml:space="preserve">  Inventory</t>
  </si>
  <si>
    <t xml:space="preserve">  Net PP&amp;E</t>
  </si>
  <si>
    <t xml:space="preserve">  Tangible Book Value</t>
  </si>
  <si>
    <t xml:space="preserve">  Common Equity</t>
  </si>
  <si>
    <t xml:space="preserve">  Capital Expenditures</t>
  </si>
  <si>
    <t xml:space="preserve">  Levered Free Cash Flow</t>
  </si>
  <si>
    <t xml:space="preserve">  Unlevered Free Cash Flow</t>
  </si>
  <si>
    <t xml:space="preserve">  Dividend per Share</t>
  </si>
  <si>
    <t>Compound Annual Growth Rate Over Two Years</t>
  </si>
  <si>
    <t>Compound Annual Growth Rate Over Three Years</t>
  </si>
  <si>
    <t>Compound Annual Growth Rate Over Five Years</t>
  </si>
  <si>
    <t>Netflix, Inc. (NasdaqGS:NFLX) &gt; Financials &gt; Supplemental</t>
  </si>
  <si>
    <t>Supplemental</t>
  </si>
  <si>
    <t>Options Outstanding</t>
  </si>
  <si>
    <t>Options Out. at the Beginning of the Period</t>
  </si>
  <si>
    <t>Options Granted During the Period</t>
  </si>
  <si>
    <t>Options Exercised During the Period</t>
  </si>
  <si>
    <t>Options Cancelled During the Period</t>
  </si>
  <si>
    <t>Options Out. at the End of the Period</t>
  </si>
  <si>
    <t>W/Avg. Strike Price of Out. at the End of the Period</t>
  </si>
  <si>
    <t>W/Avg. Strike Price of Granted</t>
  </si>
  <si>
    <t>Options Outstanding - All Classes</t>
  </si>
  <si>
    <t>Stock Based Compensation</t>
  </si>
  <si>
    <t>Stock Options Comp. Exp., Before Tax</t>
  </si>
  <si>
    <t>Stock Options Comp. Exp. Tax Effect</t>
  </si>
  <si>
    <t>Stock Options Comp. Exp., After Tax</t>
  </si>
  <si>
    <t>Stock Based Comp. Exp., Before Tax</t>
  </si>
  <si>
    <t>Stock Based Comp. Exp. Tax Effect</t>
  </si>
  <si>
    <t>Stock Based Comp. Exp., After Tax</t>
  </si>
  <si>
    <t>Loss Carry Forward Related Items</t>
  </si>
  <si>
    <t>NOL C/F, After Five Years</t>
  </si>
  <si>
    <t>Total NOL C/F</t>
  </si>
  <si>
    <t>Tax Benefit C/F, After Five Years</t>
  </si>
  <si>
    <t>Tax Benefit C/F, No Expiration</t>
  </si>
  <si>
    <t>Total Tax Benefit C/F</t>
  </si>
  <si>
    <t>Adoption of FIN 48 Related Items</t>
  </si>
  <si>
    <t>Unrecognized Tax Benefits - Beginning of Period</t>
  </si>
  <si>
    <t>Increase in Unrecog. Tax Benefits - Current Yr.</t>
  </si>
  <si>
    <t>Increase in Unrecog. Tax Benefits - Prior Yrs.</t>
  </si>
  <si>
    <t>Decrease in Unrecog. Tax Benefits - Prior Yrs.</t>
  </si>
  <si>
    <t>Settlements with Tax Authorities</t>
  </si>
  <si>
    <t>Unrecognized Tax Benefits - End of Period</t>
  </si>
  <si>
    <t>Interest and Penalties Recog. on IS - Before Tax</t>
  </si>
  <si>
    <t>Interest and Penalties Recog. on BS - Before Tax</t>
  </si>
  <si>
    <t>Unrecog. Tax Benefit Impacting Effective Tax Rate</t>
  </si>
  <si>
    <t>Fair Value Measurements</t>
  </si>
  <si>
    <t>Level 1 Assets - Quoted Prices</t>
  </si>
  <si>
    <t>Level 2 Assets - Observable Prices</t>
  </si>
  <si>
    <t>Fair Value of Assets</t>
  </si>
  <si>
    <t>Level 2 Liabilities - Observable Prices</t>
  </si>
  <si>
    <t>Fair Value of Liabilities</t>
  </si>
  <si>
    <t>Netflix, Inc. (NasdaqGS:NFLX) &gt;  Quick Comparable Analysis &gt; Trading Multiples</t>
  </si>
  <si>
    <t>Details</t>
  </si>
  <si>
    <t>Capital IQ Default Comps</t>
  </si>
  <si>
    <t>US Dollar</t>
  </si>
  <si>
    <t>As-Of Date:</t>
  </si>
  <si>
    <t>Company Comp Set</t>
  </si>
  <si>
    <t>Company Name</t>
  </si>
  <si>
    <t>TEV/Total Revenues LTM - Latest</t>
  </si>
  <si>
    <t>TEV/EBITDA LTM - Latest</t>
  </si>
  <si>
    <t>TEV/EBIT LTM - Latest</t>
  </si>
  <si>
    <t>P/Diluted EPS Before Extra LTM - Latest</t>
  </si>
  <si>
    <t>P/TangBV LTM - Latest</t>
  </si>
  <si>
    <t>Warner Bros. Discovery, Inc. (NasdaqGS:WBD)</t>
  </si>
  <si>
    <t>Spotify Technology S.A. (NYSE:SPOT)</t>
  </si>
  <si>
    <t>Roku, Inc. (NasdaqGS:ROKU)</t>
  </si>
  <si>
    <t>The Walt Disney Company (NYSE:DIS)</t>
  </si>
  <si>
    <t>Paramount Skydance Corporation (NasdaqGS:PSKY)</t>
  </si>
  <si>
    <t>CuriosityStream Inc. (NasdaqCM:CURI)</t>
  </si>
  <si>
    <t>Live Nation Entertainment, Inc. (NYSE:LYV)</t>
  </si>
  <si>
    <t>TV Channels Network Inc.</t>
  </si>
  <si>
    <t>Starz Entertainment Corp. (NasdaqGS:STRZ)</t>
  </si>
  <si>
    <t>Alphabet Inc. (NasdaqGS:GOOGL)</t>
  </si>
  <si>
    <t>Netflix, Inc. (NasdaqGS:NFLX)</t>
  </si>
  <si>
    <t>Summary Statistics</t>
  </si>
  <si>
    <t>Mean</t>
  </si>
  <si>
    <t>Median</t>
  </si>
  <si>
    <t>Netflix, Inc. (NasdaqGS:NFLX) &gt; Financials &gt; Key Stats</t>
  </si>
  <si>
    <t>Key Financials¹</t>
  </si>
  <si>
    <t>12 months
Dec-31-2021A</t>
  </si>
  <si>
    <t>12 months
Dec-31-2022A</t>
  </si>
  <si>
    <t>12 months
Dec-31-2023A</t>
  </si>
  <si>
    <t>LTM²
12 months
Sep-30-2025A</t>
  </si>
  <si>
    <t>12 months†
Dec-31-2025E</t>
  </si>
  <si>
    <t xml:space="preserve">  Growth Over Prior Year</t>
  </si>
  <si>
    <t>Gross Profit</t>
  </si>
  <si>
    <t xml:space="preserve">  Margin %</t>
  </si>
  <si>
    <t>Earnings from Cont. Ops.</t>
  </si>
  <si>
    <t>Diluted EPS Excl. Extra Items³</t>
  </si>
  <si>
    <t>Exchange Rate</t>
  </si>
  <si>
    <t>Conversion Method</t>
  </si>
  <si>
    <t>H</t>
  </si>
  <si>
    <t>S</t>
  </si>
  <si>
    <t>¹All results are taken from the most recently filed statement for each period. When there has been more than one, earlier filings can be viewed on the individual statement pages.</t>
  </si>
  <si>
    <t>²Growth rates for the LTM period are calculated against the LTM period ending 12 months before.</t>
  </si>
  <si>
    <t>³All forward period figures are consensus mean estimates provided by the brokers and may not be on a comparable basis as financials.</t>
  </si>
  <si>
    <t>†Growth rates for forward periods are calculated against prior period estimates or actual pro forma results as disclosed on the Estimates Consensus page.</t>
  </si>
  <si>
    <t>Growth Rates are calculated in originally reported currency only and will not reflect any currency conversion selected above.</t>
  </si>
  <si>
    <t>Current Capitalization (Millions of USD)</t>
  </si>
  <si>
    <t>NETFLIX</t>
  </si>
  <si>
    <t>MODEL ASSUMPTIONS</t>
  </si>
  <si>
    <t>GENERAL</t>
  </si>
  <si>
    <t>Capital Expenditure Assumptions, average of % Revenue</t>
  </si>
  <si>
    <t>First year of forecast period in the model:</t>
  </si>
  <si>
    <t>hohdas</t>
  </si>
  <si>
    <t>REVENUE GROWTH ASSUMPTIONS, based on historical arithmetic average</t>
  </si>
  <si>
    <t>DVD revenues</t>
  </si>
  <si>
    <t>Depreciation Assumptions</t>
  </si>
  <si>
    <t>MEMBERSHIP GROWTH ASSUMPTIONS, based on historical arithmetic average</t>
  </si>
  <si>
    <t>Assumed Depreciation Method:</t>
  </si>
  <si>
    <t>Straight Line</t>
  </si>
  <si>
    <t>Asset</t>
  </si>
  <si>
    <t>Useful Life</t>
  </si>
  <si>
    <t>No Depreciation</t>
  </si>
  <si>
    <t>PRICE GROWTH ASSUMPTIONS, based on historical arithmetic average</t>
  </si>
  <si>
    <t xml:space="preserve">Long Term Debt Assumption </t>
  </si>
  <si>
    <t>Beginning Debt  Level as (2025), in $MM</t>
  </si>
  <si>
    <t>Long term Lease, Level</t>
  </si>
  <si>
    <t>Operating Expenses growth rate, historical arithmatic avearage</t>
  </si>
  <si>
    <t>Long Term Debt Growth Rate</t>
  </si>
  <si>
    <t>Interest rate on long term debt</t>
  </si>
  <si>
    <t>Long Term Debt Repayment During forecat period</t>
  </si>
  <si>
    <t>Tax rate assumed in this model</t>
  </si>
  <si>
    <t>Dividend Payout Ratio ( Average of 4 years)</t>
  </si>
  <si>
    <t>Working Capital Assumptions</t>
  </si>
  <si>
    <t>Assumed to change as % of revenue based on historical arithmetic average</t>
  </si>
  <si>
    <t>Long Term Commitment Ex Operating Lease</t>
  </si>
  <si>
    <t>After 5 years due</t>
  </si>
  <si>
    <t>Long term debt including capital lease payment schedule, in $MM</t>
  </si>
  <si>
    <t>Of Which Capital Leasse, in $MM</t>
  </si>
  <si>
    <t>Other Contractual Obligation ( Purchase), in $MM</t>
  </si>
  <si>
    <t>Operating Leases</t>
  </si>
  <si>
    <t>Operating lease, as planned, in $MM</t>
  </si>
  <si>
    <t>Cost of Capital Assumptions</t>
  </si>
  <si>
    <t>Other line items of working capital are assumed to stay the same as of 2023 for the forecast period</t>
  </si>
  <si>
    <t>Equity beta of Netflix</t>
  </si>
  <si>
    <t>Market Risk Premuim</t>
  </si>
  <si>
    <t>Risk free rate</t>
  </si>
  <si>
    <t>Scenario Analysis Assuptions</t>
  </si>
  <si>
    <t>Cost of Equity</t>
  </si>
  <si>
    <t>Selecting the most Risky Variables for Scenario Analysis</t>
  </si>
  <si>
    <t>Weighted Cost of debt</t>
  </si>
  <si>
    <t>Key Revenue Risk Variable</t>
  </si>
  <si>
    <t>Capital Structure</t>
  </si>
  <si>
    <t xml:space="preserve">Best Case: growth rates higher than the Base Case by </t>
  </si>
  <si>
    <t>Market Value of Equity</t>
  </si>
  <si>
    <t xml:space="preserve">Worst Case: growth rates lower than the Base Case by </t>
  </si>
  <si>
    <t>Market Value of Debt</t>
  </si>
  <si>
    <t>Average Paying Membership</t>
  </si>
  <si>
    <t>Value of Firm</t>
  </si>
  <si>
    <t>E/V</t>
  </si>
  <si>
    <t>D/V</t>
  </si>
  <si>
    <t>Corporate Tax Rate</t>
  </si>
  <si>
    <t>WACC</t>
  </si>
  <si>
    <t>Key  Operating Expense Risky Variables</t>
  </si>
  <si>
    <t xml:space="preserve">Sustainable Growth Rate Assumptions </t>
  </si>
  <si>
    <t>Base Case Terminal Growth Rate</t>
  </si>
  <si>
    <t>about 2% GDP growth rate and 2% Inflation assumption</t>
  </si>
  <si>
    <t>Trading Multiple of Netflix</t>
  </si>
  <si>
    <t xml:space="preserve">Terminal Value Growth </t>
  </si>
  <si>
    <t>Discount Rates (Cost of Equity and Cost of Debt)</t>
  </si>
  <si>
    <t xml:space="preserve">Best Case: growth rates  LOWER THAN the Base Case by </t>
  </si>
  <si>
    <t xml:space="preserve">Worst Case: growth rates HIGHER than the Base Case by </t>
  </si>
  <si>
    <t>Revenue Schedule</t>
  </si>
  <si>
    <t>Consolidated Operation Cost Schedule</t>
  </si>
  <si>
    <t>In $MM</t>
  </si>
  <si>
    <t>Operating Leases, as planned, in $MM</t>
  </si>
  <si>
    <t>Total Operation Expense</t>
  </si>
  <si>
    <t>Capital Expenditure Projections</t>
  </si>
  <si>
    <t>Capex</t>
  </si>
  <si>
    <t>Depreciable Asset Schedule ( Existing and New)</t>
  </si>
  <si>
    <t>in thousands</t>
  </si>
  <si>
    <t>Buiding</t>
  </si>
  <si>
    <t>Information Technology</t>
  </si>
  <si>
    <t>Corporate Aircraft</t>
  </si>
  <si>
    <t>Total Capex in $MM</t>
  </si>
  <si>
    <t>Depreciation Schedule</t>
  </si>
  <si>
    <t>Depreciation on Existing Building</t>
  </si>
  <si>
    <t>Dep on New building Capex</t>
  </si>
  <si>
    <t>Total Depreciation on Building</t>
  </si>
  <si>
    <t>Depreciation on Existing Leasehold improvements</t>
  </si>
  <si>
    <t>Dep on New leasehold improvement Capex</t>
  </si>
  <si>
    <t>Total Depreciation on Leasehold improvements</t>
  </si>
  <si>
    <t>Depreciation on Existing Furniture and Fixtures</t>
  </si>
  <si>
    <t>Dep on New Furniture and Fixtures Capex</t>
  </si>
  <si>
    <t>Total Depreciation on Furniture and Fixtures</t>
  </si>
  <si>
    <t>Depreciation on Existing Information Technology</t>
  </si>
  <si>
    <t>Dep on New Information Technology</t>
  </si>
  <si>
    <t>Total Depreciation on Information Technology</t>
  </si>
  <si>
    <t>Depreciation on Existing Corporate Aircraft</t>
  </si>
  <si>
    <t>Dep on New Corporate Aircraft</t>
  </si>
  <si>
    <t>Total Depreciation on Corporate Aircraft</t>
  </si>
  <si>
    <t>Depreciation on Existing Machinery and Equipment</t>
  </si>
  <si>
    <t>Dep on New Machinery and Equipment</t>
  </si>
  <si>
    <t>Total Depreciation on Machinery and Equipment</t>
  </si>
  <si>
    <t>Total Annual Deprecialtion of All Assets</t>
  </si>
  <si>
    <t>Debt and Interest Expense Schedule</t>
  </si>
  <si>
    <t>Long-Term Debt (including capitalized lease obligations)</t>
  </si>
  <si>
    <t>in $MM</t>
  </si>
  <si>
    <t>Beginning Balance, Average Long term Debt</t>
  </si>
  <si>
    <t>Scheduled Repayments</t>
  </si>
  <si>
    <t>New Debt Raised</t>
  </si>
  <si>
    <t>Ending Balance</t>
  </si>
  <si>
    <t>Interest Rate (weighted)</t>
  </si>
  <si>
    <t>Annual Interest Expense</t>
  </si>
  <si>
    <t>Net debt</t>
  </si>
  <si>
    <t>Working Capital Schedule</t>
  </si>
  <si>
    <t>Current Asset (excluding Cash and cash equivalent)</t>
  </si>
  <si>
    <t>Curr Asset including cash and ST Invest</t>
  </si>
  <si>
    <t>Current Liabilities</t>
  </si>
  <si>
    <t>Changes in working capital</t>
  </si>
  <si>
    <t>Depreciation</t>
  </si>
  <si>
    <t>Statement of Cash Flows</t>
  </si>
  <si>
    <t>in MM $</t>
  </si>
  <si>
    <t>Weight</t>
  </si>
  <si>
    <t>Weight * Coupon</t>
  </si>
  <si>
    <t>Rd</t>
  </si>
  <si>
    <t>BETA</t>
  </si>
  <si>
    <t>RISK FREE RATE</t>
  </si>
  <si>
    <t>RISK PREMIUM</t>
  </si>
  <si>
    <t>COST OF EQUITY</t>
  </si>
  <si>
    <t>DATE</t>
  </si>
  <si>
    <t>S&amp;P 500</t>
  </si>
  <si>
    <t>NFLX RETURNS</t>
  </si>
  <si>
    <t>S&amp;P RETURNS</t>
  </si>
  <si>
    <t>As at December 6th</t>
  </si>
  <si>
    <t>From KPMG</t>
  </si>
  <si>
    <t>MARKET VAL EQUITY</t>
  </si>
  <si>
    <t>MARKET VALUE OF DEBT</t>
  </si>
  <si>
    <t>ENTERPRISE VALUE</t>
  </si>
  <si>
    <t>Switch:</t>
  </si>
  <si>
    <t>Currently Running</t>
  </si>
  <si>
    <t>Cost of equity</t>
  </si>
  <si>
    <t>Cost of debt</t>
  </si>
  <si>
    <t>Netflix NTM data</t>
  </si>
  <si>
    <t>UPS  In MM $, except EPS</t>
  </si>
  <si>
    <t xml:space="preserve">Forward Total Revenue </t>
  </si>
  <si>
    <t xml:space="preserve">Forward EBITDA </t>
  </si>
  <si>
    <t>Forward Net Income</t>
  </si>
  <si>
    <t>Number of Shares outstanding (MM)</t>
  </si>
  <si>
    <t>Forward EPS</t>
  </si>
  <si>
    <t>Total Enterprise Value, based on Revenue Multiple</t>
  </si>
  <si>
    <t>Equity per share</t>
  </si>
  <si>
    <t>Total Enterprise Value, based on EBITDA Multiple</t>
  </si>
  <si>
    <t>Equity Value, based on PE  Multiple</t>
  </si>
  <si>
    <t>Cost of Debt</t>
  </si>
  <si>
    <t>Sustainable long term growth rate</t>
  </si>
  <si>
    <t>FCF to Equity</t>
  </si>
  <si>
    <t>CAPEX</t>
  </si>
  <si>
    <t xml:space="preserve">Total Debt- Cash </t>
  </si>
  <si>
    <t>FCF to Equity (NI+Dep-Capex-chge NWC+ Net Debt</t>
  </si>
  <si>
    <t>Terminal Value at end of 2027 (Second Stage, Terminal Value)</t>
  </si>
  <si>
    <t>Total FCF to Equity ( both first stage and second stage)</t>
  </si>
  <si>
    <t>Total Equity Value</t>
  </si>
  <si>
    <t xml:space="preserve">Total number of Shares Outstanding, in Millions </t>
  </si>
  <si>
    <t>Per Share</t>
  </si>
  <si>
    <t>Total FCF to the Firm</t>
  </si>
  <si>
    <t>After Tax Interest Expense</t>
  </si>
  <si>
    <t>Total FCF to the Firm (Total FCF Equity + After tax Interest Expense</t>
  </si>
  <si>
    <t>Terminal Value at end of 2029</t>
  </si>
  <si>
    <t>Enterprise Value</t>
  </si>
  <si>
    <t xml:space="preserve">Less Total Debt </t>
  </si>
  <si>
    <t>Number of Shares (in millions)</t>
  </si>
  <si>
    <t>Equity Value Per Share</t>
  </si>
  <si>
    <t>Sensitivity Analysis of Growth Rate and 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</si>
</sst>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.0_);_(* \(#,##0.0\)_)\ ;_(* 0_)"/>
    <numFmt numFmtId="167" formatCode="mmm\-dd\-yyyy"/>
    <numFmt numFmtId="168" formatCode="_(#,##0.0%_);_(\(#,##0.0%\)_);_(#,##0.0%_)"/>
    <numFmt numFmtId="169" formatCode="_(* #,##0.0##_);_(* \(#,##0.0##\)_)\ ;_(* 0_)"/>
    <numFmt numFmtId="170" formatCode="_(* #,##0.0#_);_(* \(#,##0.0#\)_)\ ;_(* 0_)"/>
    <numFmt numFmtId="171" formatCode="_(&quot;$&quot;#,##0.0#_);_(\(&quot;$&quot;#,##0.0#\)_);_(&quot;$&quot;&quot; - &quot;_)"/>
    <numFmt numFmtId="172" formatCode="_(* #,##0_);_(* \(#,##0\)_)\ ;_(* 0_)"/>
    <numFmt numFmtId="173" formatCode="#,##0.0\x"/>
    <numFmt numFmtId="174" formatCode="#,##0.00\x"/>
    <numFmt numFmtId="175" formatCode="_(\ #,##0.0_);_(\ \(#,##0.0\)_);_(\ &quot; - &quot;_)"/>
    <numFmt numFmtId="176" formatCode="0.0%"/>
    <numFmt numFmtId="177" formatCode="0\ &quot;years&quot;"/>
    <numFmt numFmtId="178" formatCode="_(* #,##0_);_(* \(#,##0\);_(* &quot;-&quot;??_);_(@_)"/>
    <numFmt numFmtId="179" formatCode="_(&quot;$&quot;* #,##0_);_(&quot;$&quot;* \(#,##0\);_(&quot;$&quot;* &quot;-&quot;??_);_(@_)"/>
    <numFmt numFmtId="180" formatCode="_(&quot;$&quot;* #,##0.0_);_(&quot;$&quot;* \(#,##0.0\);_(&quot;$&quot;* &quot;-&quot;??_);_(@_)"/>
    <numFmt numFmtId="181" formatCode="0.0&quot;x&quot;"/>
    <numFmt numFmtId="182" formatCode="0.000"/>
    <numFmt numFmtId="183" formatCode="0.0000"/>
    <numFmt numFmtId="184" formatCode="_(#,##0.00%_);_(\(#,##0.00%\)_);_(#,##0.00%_)"/>
    <numFmt numFmtId="185" formatCode="0&quot;E&quot;"/>
    <numFmt numFmtId="186" formatCode="0&quot;A&quot;"/>
    <numFmt numFmtId="187" formatCode="_(* #,##0.0_);_(* \(#,##0.0\);_(* &quot;-&quot;?_);_(@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"/>
      <color indexed="9"/>
      <name val="Symbol"/>
      <family val="1"/>
      <charset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7030A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Times New Roman"/>
      <family val="1"/>
    </font>
    <font>
      <sz val="11"/>
      <color theme="4" tint="-0.499984740745262"/>
      <name val="Times New Roman"/>
      <family val="1"/>
    </font>
    <font>
      <sz val="11"/>
      <color rgb="FF00206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11"/>
      <color rgb="FF7030A0"/>
      <name val="Calibri"/>
      <family val="2"/>
      <scheme val="minor"/>
    </font>
    <font>
      <b/>
      <sz val="10"/>
      <color rgb="FF7030A0"/>
      <name val="Times New Roman"/>
      <family val="1"/>
    </font>
    <font>
      <sz val="12"/>
      <color rgb="FF7030A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i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indexed="9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color indexed="9"/>
      <name val="Times New Roman"/>
      <family val="1"/>
    </font>
    <font>
      <sz val="12"/>
      <color rgb="FFFF0000"/>
      <name val="Times New Roman"/>
      <family val="1"/>
    </font>
    <font>
      <sz val="12"/>
      <color rgb="FF222222"/>
      <name val="Times New Roman"/>
      <family val="1"/>
    </font>
    <font>
      <sz val="12"/>
      <color rgb="FF0E2841"/>
      <name val="Times New Roman"/>
      <family val="1"/>
    </font>
    <font>
      <i/>
      <sz val="12"/>
      <color rgb="FF0E2841"/>
      <name val="Times New Roman"/>
      <family val="1"/>
    </font>
    <font>
      <b/>
      <sz val="16"/>
      <color rgb="FF0E2841"/>
      <name val="Times New Roman"/>
      <family val="1"/>
    </font>
    <font>
      <sz val="16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4"/>
      <name val="Times New Roman"/>
      <family val="1"/>
    </font>
    <font>
      <b/>
      <sz val="12"/>
      <color theme="4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name val="Arial"/>
      <family val="2"/>
    </font>
    <font>
      <sz val="8"/>
      <name val="Times New Roman"/>
      <family val="1"/>
    </font>
    <font>
      <b/>
      <sz val="12"/>
      <color rgb="FF232A31"/>
      <name val="Times New Roman"/>
      <family val="1"/>
    </font>
    <font>
      <sz val="11"/>
      <color theme="1"/>
      <name val="Times New Roman"/>
      <family val="1"/>
      <charset val="204"/>
    </font>
    <font>
      <sz val="11"/>
      <color rgb="FF7030A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12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rgb="FFBDD6E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A8D08D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4" fillId="0" borderId="0" applyAlignment="0"/>
    <xf numFmtId="0" fontId="19" fillId="0" borderId="0"/>
  </cellStyleXfs>
  <cellXfs count="477">
    <xf numFmtId="0" fontId="0" fillId="0" borderId="0" xfId="0"/>
    <xf numFmtId="0" fontId="3" fillId="0" borderId="0" xfId="3" applyFont="1"/>
    <xf numFmtId="0" fontId="4" fillId="0" borderId="0" xfId="4" applyAlignment="1"/>
    <xf numFmtId="0" fontId="8" fillId="0" borderId="3" xfId="0" applyFont="1" applyBorder="1" applyAlignment="1">
      <alignment horizontal="center" vertical="center"/>
    </xf>
    <xf numFmtId="0" fontId="8" fillId="0" borderId="0" xfId="0" quotePrefix="1" applyFont="1" applyAlignment="1">
      <alignment horizontal="left"/>
    </xf>
    <xf numFmtId="0" fontId="8" fillId="0" borderId="0" xfId="0" applyFont="1"/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 applyAlignment="1">
      <alignment horizontal="left" vertical="top"/>
    </xf>
    <xf numFmtId="0" fontId="8" fillId="0" borderId="9" xfId="0" applyFont="1" applyBorder="1"/>
    <xf numFmtId="0" fontId="7" fillId="0" borderId="10" xfId="0" applyFont="1" applyBorder="1"/>
    <xf numFmtId="0" fontId="8" fillId="0" borderId="3" xfId="0" applyFont="1" applyBorder="1" applyAlignment="1">
      <alignment horizontal="left" vertical="top" indent="2"/>
    </xf>
    <xf numFmtId="176" fontId="7" fillId="0" borderId="4" xfId="0" applyNumberFormat="1" applyFont="1" applyBorder="1"/>
    <xf numFmtId="0" fontId="8" fillId="0" borderId="5" xfId="0" applyFont="1" applyBorder="1" applyAlignment="1">
      <alignment horizontal="left" vertical="top" indent="2"/>
    </xf>
    <xf numFmtId="176" fontId="7" fillId="0" borderId="11" xfId="0" applyNumberFormat="1" applyFont="1" applyBorder="1"/>
    <xf numFmtId="0" fontId="8" fillId="0" borderId="10" xfId="0" applyFont="1" applyBorder="1"/>
    <xf numFmtId="0" fontId="8" fillId="0" borderId="0" xfId="0" applyFont="1" applyAlignment="1">
      <alignment horizontal="left" indent="2"/>
    </xf>
    <xf numFmtId="0" fontId="9" fillId="0" borderId="12" xfId="0" applyFont="1" applyBorder="1"/>
    <xf numFmtId="0" fontId="3" fillId="0" borderId="0" xfId="0" applyFont="1"/>
    <xf numFmtId="176" fontId="7" fillId="0" borderId="13" xfId="0" applyNumberFormat="1" applyFont="1" applyBorder="1"/>
    <xf numFmtId="0" fontId="9" fillId="0" borderId="14" xfId="0" applyFont="1" applyBorder="1"/>
    <xf numFmtId="0" fontId="3" fillId="0" borderId="15" xfId="0" applyFont="1" applyBorder="1"/>
    <xf numFmtId="176" fontId="7" fillId="0" borderId="16" xfId="0" applyNumberFormat="1" applyFont="1" applyBorder="1"/>
    <xf numFmtId="0" fontId="8" fillId="0" borderId="15" xfId="0" applyFont="1" applyBorder="1"/>
    <xf numFmtId="0" fontId="7" fillId="0" borderId="0" xfId="0" applyFont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6" fillId="0" borderId="0" xfId="0" applyFont="1"/>
    <xf numFmtId="0" fontId="0" fillId="0" borderId="15" xfId="0" applyBorder="1"/>
    <xf numFmtId="0" fontId="0" fillId="0" borderId="12" xfId="0" applyBorder="1"/>
    <xf numFmtId="0" fontId="0" fillId="0" borderId="14" xfId="0" applyBorder="1"/>
    <xf numFmtId="10" fontId="0" fillId="0" borderId="13" xfId="0" applyNumberFormat="1" applyBorder="1"/>
    <xf numFmtId="0" fontId="8" fillId="9" borderId="2" xfId="0" applyFont="1" applyFill="1" applyBorder="1" applyAlignment="1">
      <alignment horizontal="centerContinuous" vertical="center"/>
    </xf>
    <xf numFmtId="0" fontId="6" fillId="2" borderId="1" xfId="0" applyFont="1" applyFill="1" applyBorder="1" applyAlignment="1">
      <alignment horizontal="centerContinuous"/>
    </xf>
    <xf numFmtId="0" fontId="9" fillId="2" borderId="1" xfId="0" applyFont="1" applyFill="1" applyBorder="1" applyAlignment="1">
      <alignment horizontal="centerContinuous"/>
    </xf>
    <xf numFmtId="0" fontId="9" fillId="2" borderId="12" xfId="0" applyFont="1" applyFill="1" applyBorder="1" applyAlignment="1">
      <alignment horizontal="centerContinuous"/>
    </xf>
    <xf numFmtId="0" fontId="9" fillId="2" borderId="0" xfId="0" applyFont="1" applyFill="1" applyAlignment="1">
      <alignment horizontal="centerContinuous"/>
    </xf>
    <xf numFmtId="176" fontId="7" fillId="2" borderId="13" xfId="0" applyNumberFormat="1" applyFont="1" applyFill="1" applyBorder="1" applyAlignment="1">
      <alignment horizontal="centerContinuous"/>
    </xf>
    <xf numFmtId="0" fontId="8" fillId="0" borderId="3" xfId="0" applyFont="1" applyBorder="1" applyAlignment="1">
      <alignment horizontal="left" vertical="top"/>
    </xf>
    <xf numFmtId="0" fontId="7" fillId="0" borderId="4" xfId="0" applyFont="1" applyBorder="1"/>
    <xf numFmtId="0" fontId="8" fillId="9" borderId="17" xfId="0" applyFont="1" applyFill="1" applyBorder="1" applyAlignment="1">
      <alignment horizontal="centerContinuous" vertical="center"/>
    </xf>
    <xf numFmtId="0" fontId="6" fillId="2" borderId="18" xfId="0" applyFont="1" applyFill="1" applyBorder="1" applyAlignment="1">
      <alignment horizontal="centerContinuous"/>
    </xf>
    <xf numFmtId="0" fontId="6" fillId="2" borderId="19" xfId="0" applyFont="1" applyFill="1" applyBorder="1" applyAlignment="1">
      <alignment horizontal="centerContinuous"/>
    </xf>
    <xf numFmtId="0" fontId="8" fillId="0" borderId="20" xfId="0" applyFont="1" applyBorder="1" applyAlignment="1">
      <alignment horizontal="left" vertical="top"/>
    </xf>
    <xf numFmtId="178" fontId="8" fillId="0" borderId="21" xfId="0" applyNumberFormat="1" applyFont="1" applyBorder="1"/>
    <xf numFmtId="0" fontId="8" fillId="0" borderId="21" xfId="0" applyFont="1" applyBorder="1"/>
    <xf numFmtId="0" fontId="15" fillId="0" borderId="23" xfId="0" applyFont="1" applyBorder="1"/>
    <xf numFmtId="0" fontId="8" fillId="0" borderId="23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8" xfId="0" applyFont="1" applyBorder="1"/>
    <xf numFmtId="0" fontId="8" fillId="0" borderId="29" xfId="0" applyFont="1" applyBorder="1"/>
    <xf numFmtId="9" fontId="7" fillId="0" borderId="30" xfId="0" applyNumberFormat="1" applyFont="1" applyBorder="1"/>
    <xf numFmtId="9" fontId="8" fillId="0" borderId="0" xfId="0" applyNumberFormat="1" applyFont="1"/>
    <xf numFmtId="0" fontId="8" fillId="9" borderId="20" xfId="0" applyFont="1" applyFill="1" applyBorder="1" applyAlignment="1">
      <alignment horizontal="centerContinuous" vertical="top"/>
    </xf>
    <xf numFmtId="0" fontId="6" fillId="2" borderId="21" xfId="0" applyFont="1" applyFill="1" applyBorder="1" applyAlignment="1">
      <alignment horizontal="centerContinuous"/>
    </xf>
    <xf numFmtId="0" fontId="6" fillId="2" borderId="22" xfId="0" applyFont="1" applyFill="1" applyBorder="1" applyAlignment="1">
      <alignment horizontal="centerContinuous"/>
    </xf>
    <xf numFmtId="0" fontId="9" fillId="0" borderId="0" xfId="0" applyFont="1"/>
    <xf numFmtId="0" fontId="9" fillId="0" borderId="13" xfId="0" applyFont="1" applyBorder="1"/>
    <xf numFmtId="0" fontId="9" fillId="0" borderId="12" xfId="0" applyFont="1" applyBorder="1" applyAlignment="1">
      <alignment horizontal="left" indent="4"/>
    </xf>
    <xf numFmtId="0" fontId="9" fillId="0" borderId="15" xfId="0" applyFont="1" applyBorder="1"/>
    <xf numFmtId="179" fontId="9" fillId="0" borderId="15" xfId="1" applyNumberFormat="1" applyFont="1" applyBorder="1"/>
    <xf numFmtId="0" fontId="9" fillId="0" borderId="16" xfId="0" applyFont="1" applyBorder="1"/>
    <xf numFmtId="179" fontId="9" fillId="0" borderId="0" xfId="1" applyNumberFormat="1" applyFont="1" applyBorder="1" applyAlignment="1">
      <alignment horizontal="center"/>
    </xf>
    <xf numFmtId="180" fontId="8" fillId="0" borderId="0" xfId="1" applyNumberFormat="1" applyFont="1" applyBorder="1" applyAlignment="1">
      <alignment horizontal="center"/>
    </xf>
    <xf numFmtId="179" fontId="9" fillId="0" borderId="15" xfId="1" applyNumberFormat="1" applyFont="1" applyBorder="1" applyAlignment="1">
      <alignment horizontal="center"/>
    </xf>
    <xf numFmtId="180" fontId="9" fillId="0" borderId="0" xfId="1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0" fontId="17" fillId="0" borderId="23" xfId="0" applyFont="1" applyBorder="1" applyAlignment="1">
      <alignment horizontal="left" indent="1"/>
    </xf>
    <xf numFmtId="2" fontId="7" fillId="0" borderId="0" xfId="2" applyNumberFormat="1" applyFont="1" applyBorder="1"/>
    <xf numFmtId="0" fontId="3" fillId="0" borderId="13" xfId="0" applyFont="1" applyBorder="1"/>
    <xf numFmtId="176" fontId="7" fillId="0" borderId="0" xfId="2" applyNumberFormat="1" applyFont="1" applyBorder="1"/>
    <xf numFmtId="0" fontId="18" fillId="0" borderId="13" xfId="0" applyFont="1" applyBorder="1"/>
    <xf numFmtId="10" fontId="7" fillId="0" borderId="0" xfId="2" applyNumberFormat="1" applyFont="1" applyBorder="1"/>
    <xf numFmtId="176" fontId="7" fillId="7" borderId="0" xfId="2" applyNumberFormat="1" applyFont="1" applyFill="1" applyBorder="1"/>
    <xf numFmtId="0" fontId="18" fillId="0" borderId="23" xfId="0" applyFont="1" applyBorder="1"/>
    <xf numFmtId="0" fontId="19" fillId="0" borderId="23" xfId="0" quotePrefix="1" applyFont="1" applyBorder="1"/>
    <xf numFmtId="9" fontId="21" fillId="0" borderId="0" xfId="2" applyFont="1" applyFill="1" applyBorder="1" applyAlignment="1" applyProtection="1">
      <alignment vertical="center"/>
    </xf>
    <xf numFmtId="0" fontId="17" fillId="0" borderId="25" xfId="0" applyFont="1" applyBorder="1" applyAlignment="1">
      <alignment horizontal="left" indent="1"/>
    </xf>
    <xf numFmtId="176" fontId="7" fillId="7" borderId="26" xfId="2" applyNumberFormat="1" applyFont="1" applyFill="1" applyBorder="1"/>
    <xf numFmtId="179" fontId="18" fillId="7" borderId="0" xfId="1" applyNumberFormat="1" applyFont="1" applyFill="1" applyBorder="1"/>
    <xf numFmtId="3" fontId="20" fillId="0" borderId="0" xfId="0" applyNumberFormat="1" applyFont="1"/>
    <xf numFmtId="9" fontId="21" fillId="0" borderId="0" xfId="0" applyNumberFormat="1" applyFont="1" applyAlignment="1">
      <alignment vertical="center"/>
    </xf>
    <xf numFmtId="0" fontId="19" fillId="0" borderId="25" xfId="0" quotePrefix="1" applyFont="1" applyBorder="1"/>
    <xf numFmtId="176" fontId="18" fillId="0" borderId="26" xfId="0" applyNumberFormat="1" applyFont="1" applyBorder="1"/>
    <xf numFmtId="0" fontId="9" fillId="2" borderId="20" xfId="0" applyFont="1" applyFill="1" applyBorder="1" applyAlignment="1">
      <alignment horizontal="centerContinuous"/>
    </xf>
    <xf numFmtId="0" fontId="9" fillId="2" borderId="21" xfId="0" applyFont="1" applyFill="1" applyBorder="1" applyAlignment="1">
      <alignment horizontal="centerContinuous"/>
    </xf>
    <xf numFmtId="0" fontId="16" fillId="2" borderId="22" xfId="0" applyFont="1" applyFill="1" applyBorder="1" applyAlignment="1">
      <alignment horizontal="centerContinuous"/>
    </xf>
    <xf numFmtId="0" fontId="6" fillId="2" borderId="31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12" fillId="0" borderId="32" xfId="0" applyFont="1" applyBorder="1" applyAlignment="1">
      <alignment horizontal="left" vertical="top"/>
    </xf>
    <xf numFmtId="177" fontId="14" fillId="0" borderId="33" xfId="0" applyNumberFormat="1" applyFont="1" applyBorder="1" applyAlignment="1">
      <alignment horizontal="right"/>
    </xf>
    <xf numFmtId="0" fontId="12" fillId="0" borderId="34" xfId="0" applyFont="1" applyBorder="1" applyAlignment="1">
      <alignment horizontal="left" vertical="top"/>
    </xf>
    <xf numFmtId="177" fontId="14" fillId="0" borderId="35" xfId="0" applyNumberFormat="1" applyFont="1" applyBorder="1" applyAlignment="1">
      <alignment horizontal="right"/>
    </xf>
    <xf numFmtId="0" fontId="18" fillId="2" borderId="20" xfId="0" applyFont="1" applyFill="1" applyBorder="1" applyAlignment="1">
      <alignment horizontal="centerContinuous"/>
    </xf>
    <xf numFmtId="0" fontId="18" fillId="2" borderId="21" xfId="0" applyFont="1" applyFill="1" applyBorder="1" applyAlignment="1">
      <alignment horizontal="centerContinuous"/>
    </xf>
    <xf numFmtId="0" fontId="18" fillId="2" borderId="22" xfId="0" applyFont="1" applyFill="1" applyBorder="1" applyAlignment="1">
      <alignment horizontal="centerContinuous"/>
    </xf>
    <xf numFmtId="0" fontId="18" fillId="0" borderId="0" xfId="0" applyFont="1"/>
    <xf numFmtId="0" fontId="18" fillId="0" borderId="15" xfId="0" applyFont="1" applyBorder="1"/>
    <xf numFmtId="0" fontId="0" fillId="0" borderId="0" xfId="0" applyAlignment="1">
      <alignment horizontal="centerContinuous"/>
    </xf>
    <xf numFmtId="0" fontId="18" fillId="0" borderId="0" xfId="0" applyFont="1" applyAlignment="1">
      <alignment horizontal="centerContinuous"/>
    </xf>
    <xf numFmtId="9" fontId="18" fillId="0" borderId="15" xfId="2" applyFont="1" applyBorder="1"/>
    <xf numFmtId="0" fontId="18" fillId="0" borderId="14" xfId="0" applyFont="1" applyBorder="1"/>
    <xf numFmtId="9" fontId="18" fillId="0" borderId="15" xfId="0" applyNumberFormat="1" applyFont="1" applyBorder="1"/>
    <xf numFmtId="181" fontId="9" fillId="0" borderId="13" xfId="0" applyNumberFormat="1" applyFont="1" applyBorder="1"/>
    <xf numFmtId="181" fontId="9" fillId="0" borderId="16" xfId="0" applyNumberFormat="1" applyFont="1" applyBorder="1"/>
    <xf numFmtId="0" fontId="18" fillId="8" borderId="0" xfId="0" applyFont="1" applyFill="1"/>
    <xf numFmtId="0" fontId="23" fillId="0" borderId="12" xfId="0" applyFont="1" applyBorder="1" applyAlignment="1">
      <alignment horizontal="centerContinuous"/>
    </xf>
    <xf numFmtId="0" fontId="18" fillId="0" borderId="13" xfId="0" applyFont="1" applyBorder="1" applyAlignment="1">
      <alignment horizontal="centerContinuous"/>
    </xf>
    <xf numFmtId="0" fontId="23" fillId="0" borderId="12" xfId="0" applyFont="1" applyBorder="1" applyAlignment="1">
      <alignment horizontal="left"/>
    </xf>
    <xf numFmtId="0" fontId="23" fillId="0" borderId="12" xfId="0" applyFont="1" applyBorder="1" applyAlignment="1">
      <alignment horizontal="left" indent="1"/>
    </xf>
    <xf numFmtId="0" fontId="23" fillId="0" borderId="12" xfId="0" applyFont="1" applyBorder="1" applyAlignment="1">
      <alignment horizontal="left" indent="3"/>
    </xf>
    <xf numFmtId="0" fontId="18" fillId="0" borderId="12" xfId="0" applyFont="1" applyBorder="1" applyAlignment="1">
      <alignment horizontal="left" indent="3"/>
    </xf>
    <xf numFmtId="0" fontId="18" fillId="0" borderId="0" xfId="0" applyFont="1" applyAlignment="1">
      <alignment horizontal="left" indent="3"/>
    </xf>
    <xf numFmtId="10" fontId="22" fillId="0" borderId="13" xfId="0" applyNumberFormat="1" applyFont="1" applyBorder="1"/>
    <xf numFmtId="0" fontId="25" fillId="0" borderId="12" xfId="0" applyFont="1" applyBorder="1"/>
    <xf numFmtId="0" fontId="9" fillId="0" borderId="12" xfId="0" applyFont="1" applyBorder="1" applyAlignment="1">
      <alignment horizontal="left" indent="2"/>
    </xf>
    <xf numFmtId="0" fontId="23" fillId="0" borderId="12" xfId="0" applyFont="1" applyBorder="1"/>
    <xf numFmtId="0" fontId="18" fillId="0" borderId="14" xfId="0" applyFont="1" applyBorder="1" applyAlignment="1">
      <alignment horizontal="left" indent="3"/>
    </xf>
    <xf numFmtId="0" fontId="18" fillId="0" borderId="15" xfId="0" applyFont="1" applyBorder="1" applyAlignment="1">
      <alignment horizontal="left" indent="3"/>
    </xf>
    <xf numFmtId="10" fontId="22" fillId="0" borderId="16" xfId="0" applyNumberFormat="1" applyFont="1" applyBorder="1"/>
    <xf numFmtId="0" fontId="23" fillId="2" borderId="0" xfId="0" applyFont="1" applyFill="1"/>
    <xf numFmtId="0" fontId="23" fillId="0" borderId="0" xfId="0" applyFont="1"/>
    <xf numFmtId="0" fontId="23" fillId="0" borderId="0" xfId="1" applyNumberFormat="1" applyFont="1"/>
    <xf numFmtId="165" fontId="18" fillId="0" borderId="0" xfId="1" applyNumberFormat="1" applyFont="1"/>
    <xf numFmtId="10" fontId="18" fillId="0" borderId="0" xfId="0" applyNumberFormat="1" applyFont="1"/>
    <xf numFmtId="165" fontId="16" fillId="0" borderId="0" xfId="1" applyNumberFormat="1" applyFont="1"/>
    <xf numFmtId="165" fontId="18" fillId="0" borderId="0" xfId="1" applyNumberFormat="1" applyFont="1" applyAlignment="1">
      <alignment horizontal="center"/>
    </xf>
    <xf numFmtId="9" fontId="18" fillId="0" borderId="0" xfId="2" applyFont="1"/>
    <xf numFmtId="0" fontId="26" fillId="0" borderId="0" xfId="0" applyFont="1"/>
    <xf numFmtId="165" fontId="18" fillId="0" borderId="0" xfId="0" applyNumberFormat="1" applyFont="1"/>
    <xf numFmtId="0" fontId="23" fillId="3" borderId="0" xfId="0" applyFont="1" applyFill="1"/>
    <xf numFmtId="165" fontId="16" fillId="0" borderId="0" xfId="0" quotePrefix="1" applyNumberFormat="1" applyFont="1" applyAlignment="1">
      <alignment wrapText="1"/>
    </xf>
    <xf numFmtId="164" fontId="18" fillId="0" borderId="0" xfId="0" applyNumberFormat="1" applyFont="1"/>
    <xf numFmtId="8" fontId="18" fillId="0" borderId="0" xfId="0" applyNumberFormat="1" applyFont="1"/>
    <xf numFmtId="0" fontId="23" fillId="6" borderId="0" xfId="0" applyFont="1" applyFill="1"/>
    <xf numFmtId="0" fontId="23" fillId="0" borderId="0" xfId="1" applyNumberFormat="1" applyFont="1" applyAlignment="1">
      <alignment horizontal="center"/>
    </xf>
    <xf numFmtId="3" fontId="18" fillId="0" borderId="0" xfId="0" applyNumberFormat="1" applyFont="1"/>
    <xf numFmtId="4" fontId="18" fillId="0" borderId="0" xfId="0" applyNumberFormat="1" applyFont="1"/>
    <xf numFmtId="0" fontId="27" fillId="0" borderId="0" xfId="3" applyFont="1"/>
    <xf numFmtId="0" fontId="15" fillId="0" borderId="0" xfId="3" applyFont="1"/>
    <xf numFmtId="0" fontId="28" fillId="0" borderId="0" xfId="3" applyFont="1" applyAlignment="1">
      <alignment wrapText="1"/>
    </xf>
    <xf numFmtId="0" fontId="26" fillId="0" borderId="0" xfId="3" applyFont="1"/>
    <xf numFmtId="0" fontId="29" fillId="0" borderId="0" xfId="3" applyFont="1" applyAlignment="1">
      <alignment horizontal="left" vertical="top"/>
    </xf>
    <xf numFmtId="49" fontId="15" fillId="0" borderId="0" xfId="3" applyNumberFormat="1" applyFont="1"/>
    <xf numFmtId="0" fontId="30" fillId="5" borderId="0" xfId="3" applyFont="1" applyFill="1"/>
    <xf numFmtId="0" fontId="27" fillId="4" borderId="0" xfId="3" applyFont="1" applyFill="1" applyAlignment="1">
      <alignment wrapText="1"/>
    </xf>
    <xf numFmtId="0" fontId="27" fillId="4" borderId="0" xfId="3" applyFont="1" applyFill="1" applyAlignment="1">
      <alignment horizontal="right" wrapText="1"/>
    </xf>
    <xf numFmtId="0" fontId="31" fillId="4" borderId="0" xfId="3" applyFont="1" applyFill="1" applyAlignment="1">
      <alignment wrapText="1"/>
    </xf>
    <xf numFmtId="0" fontId="31" fillId="4" borderId="0" xfId="3" applyFont="1" applyFill="1" applyAlignment="1">
      <alignment horizontal="right" wrapText="1"/>
    </xf>
    <xf numFmtId="0" fontId="27" fillId="0" borderId="0" xfId="3" applyFont="1" applyAlignment="1">
      <alignment horizontal="left" vertical="top"/>
    </xf>
    <xf numFmtId="166" fontId="29" fillId="0" borderId="0" xfId="3" applyNumberFormat="1" applyFont="1" applyAlignment="1">
      <alignment horizontal="right" vertical="top" wrapText="1"/>
    </xf>
    <xf numFmtId="166" fontId="27" fillId="0" borderId="0" xfId="3" applyNumberFormat="1" applyFont="1" applyAlignment="1">
      <alignment horizontal="right" vertical="top" wrapText="1"/>
    </xf>
    <xf numFmtId="167" fontId="29" fillId="0" borderId="0" xfId="3" applyNumberFormat="1" applyFont="1" applyAlignment="1">
      <alignment horizontal="right" vertical="top" wrapText="1"/>
    </xf>
    <xf numFmtId="0" fontId="29" fillId="0" borderId="0" xfId="3" applyFont="1" applyAlignment="1">
      <alignment horizontal="left" vertical="center"/>
    </xf>
    <xf numFmtId="0" fontId="29" fillId="8" borderId="0" xfId="3" applyFont="1" applyFill="1" applyAlignment="1">
      <alignment horizontal="left" vertical="top"/>
    </xf>
    <xf numFmtId="166" fontId="29" fillId="8" borderId="0" xfId="3" applyNumberFormat="1" applyFont="1" applyFill="1" applyAlignment="1">
      <alignment horizontal="right" vertical="top" wrapText="1"/>
    </xf>
    <xf numFmtId="9" fontId="18" fillId="8" borderId="0" xfId="2" applyFont="1" applyFill="1"/>
    <xf numFmtId="9" fontId="18" fillId="8" borderId="0" xfId="0" applyNumberFormat="1" applyFont="1" applyFill="1"/>
    <xf numFmtId="171" fontId="29" fillId="0" borderId="0" xfId="3" applyNumberFormat="1" applyFont="1" applyAlignment="1">
      <alignment horizontal="right" vertical="top" wrapText="1"/>
    </xf>
    <xf numFmtId="170" fontId="29" fillId="0" borderId="0" xfId="3" applyNumberFormat="1" applyFont="1" applyAlignment="1">
      <alignment horizontal="right" vertical="top" wrapText="1"/>
    </xf>
    <xf numFmtId="169" fontId="29" fillId="0" borderId="0" xfId="3" applyNumberFormat="1" applyFont="1" applyAlignment="1">
      <alignment horizontal="right" vertical="top" wrapText="1"/>
    </xf>
    <xf numFmtId="168" fontId="29" fillId="0" borderId="0" xfId="3" applyNumberFormat="1" applyFont="1" applyAlignment="1">
      <alignment horizontal="right" vertical="top" wrapText="1"/>
    </xf>
    <xf numFmtId="49" fontId="29" fillId="0" borderId="0" xfId="3" applyNumberFormat="1" applyFont="1" applyAlignment="1">
      <alignment horizontal="right" vertical="top" wrapText="1"/>
    </xf>
    <xf numFmtId="167" fontId="27" fillId="4" borderId="0" xfId="3" applyNumberFormat="1" applyFont="1" applyFill="1" applyAlignment="1">
      <alignment horizontal="right" wrapText="1"/>
    </xf>
    <xf numFmtId="172" fontId="29" fillId="0" borderId="0" xfId="3" applyNumberFormat="1" applyFont="1" applyAlignment="1">
      <alignment horizontal="right" vertical="top" wrapText="1"/>
    </xf>
    <xf numFmtId="173" fontId="29" fillId="0" borderId="0" xfId="3" applyNumberFormat="1" applyFont="1" applyAlignment="1">
      <alignment horizontal="right" vertical="top" wrapText="1"/>
    </xf>
    <xf numFmtId="174" fontId="29" fillId="0" borderId="0" xfId="3" applyNumberFormat="1" applyFont="1" applyAlignment="1">
      <alignment horizontal="right" vertical="top" wrapText="1"/>
    </xf>
    <xf numFmtId="0" fontId="30" fillId="5" borderId="0" xfId="3" applyFont="1" applyFill="1" applyAlignment="1">
      <alignment horizontal="left"/>
    </xf>
    <xf numFmtId="0" fontId="27" fillId="4" borderId="0" xfId="3" applyFont="1" applyFill="1" applyAlignment="1">
      <alignment horizontal="right"/>
    </xf>
    <xf numFmtId="0" fontId="27" fillId="0" borderId="0" xfId="3" applyFont="1" applyAlignment="1">
      <alignment horizontal="left"/>
    </xf>
    <xf numFmtId="167" fontId="27" fillId="4" borderId="0" xfId="3" applyNumberFormat="1" applyFont="1" applyFill="1" applyAlignment="1">
      <alignment horizontal="right"/>
    </xf>
    <xf numFmtId="0" fontId="27" fillId="0" borderId="0" xfId="3" applyFont="1" applyAlignment="1">
      <alignment horizontal="right"/>
    </xf>
    <xf numFmtId="174" fontId="29" fillId="0" borderId="0" xfId="3" applyNumberFormat="1" applyFont="1" applyAlignment="1">
      <alignment horizontal="right"/>
    </xf>
    <xf numFmtId="174" fontId="15" fillId="0" borderId="0" xfId="3" applyNumberFormat="1" applyFont="1" applyAlignment="1">
      <alignment horizontal="right"/>
    </xf>
    <xf numFmtId="49" fontId="29" fillId="0" borderId="0" xfId="3" applyNumberFormat="1" applyFont="1" applyAlignment="1">
      <alignment horizontal="right"/>
    </xf>
    <xf numFmtId="49" fontId="15" fillId="0" borderId="0" xfId="3" applyNumberFormat="1" applyFont="1" applyAlignment="1">
      <alignment horizontal="right"/>
    </xf>
    <xf numFmtId="0" fontId="27" fillId="4" borderId="0" xfId="3" applyFont="1" applyFill="1" applyAlignment="1">
      <alignment horizontal="center" wrapText="1"/>
    </xf>
    <xf numFmtId="0" fontId="29" fillId="0" borderId="0" xfId="3" applyFont="1" applyAlignment="1">
      <alignment vertical="top" wrapText="1"/>
    </xf>
    <xf numFmtId="168" fontId="32" fillId="0" borderId="0" xfId="3" applyNumberFormat="1" applyFont="1" applyAlignment="1">
      <alignment horizontal="right" vertical="top" wrapText="1"/>
    </xf>
    <xf numFmtId="168" fontId="31" fillId="0" borderId="0" xfId="3" applyNumberFormat="1" applyFont="1" applyAlignment="1">
      <alignment horizontal="right" vertical="top" wrapText="1"/>
    </xf>
    <xf numFmtId="0" fontId="15" fillId="0" borderId="0" xfId="3" applyFont="1" applyAlignment="1">
      <alignment vertical="top" wrapText="1"/>
    </xf>
    <xf numFmtId="0" fontId="27" fillId="4" borderId="0" xfId="3" applyFont="1" applyFill="1" applyAlignment="1">
      <alignment horizontal="left" wrapText="1"/>
    </xf>
    <xf numFmtId="175" fontId="29" fillId="0" borderId="0" xfId="3" applyNumberFormat="1" applyFont="1" applyAlignment="1">
      <alignment horizontal="center" vertical="top" wrapText="1"/>
    </xf>
    <xf numFmtId="0" fontId="29" fillId="0" borderId="0" xfId="3" applyFont="1" applyAlignment="1">
      <alignment horizontal="center" vertical="top" wrapText="1"/>
    </xf>
    <xf numFmtId="167" fontId="29" fillId="0" borderId="0" xfId="3" applyNumberFormat="1" applyFont="1" applyAlignment="1">
      <alignment horizontal="center" vertical="top" wrapText="1"/>
    </xf>
    <xf numFmtId="0" fontId="15" fillId="0" borderId="0" xfId="3" applyFont="1" applyAlignment="1">
      <alignment wrapText="1"/>
    </xf>
    <xf numFmtId="0" fontId="30" fillId="5" borderId="0" xfId="0" applyFont="1" applyFill="1"/>
    <xf numFmtId="0" fontId="15" fillId="0" borderId="0" xfId="0" applyFont="1" applyAlignment="1">
      <alignment horizontal="left"/>
    </xf>
    <xf numFmtId="0" fontId="15" fillId="0" borderId="0" xfId="0" applyFont="1"/>
    <xf numFmtId="167" fontId="15" fillId="0" borderId="0" xfId="0" applyNumberFormat="1" applyFont="1" applyAlignment="1">
      <alignment horizontal="left"/>
    </xf>
    <xf numFmtId="0" fontId="29" fillId="0" borderId="0" xfId="0" applyFont="1" applyAlignment="1">
      <alignment horizontal="left" vertical="top"/>
    </xf>
    <xf numFmtId="0" fontId="27" fillId="4" borderId="0" xfId="0" applyFont="1" applyFill="1" applyAlignment="1">
      <alignment horizontal="left" vertical="top" wrapText="1"/>
    </xf>
    <xf numFmtId="0" fontId="27" fillId="4" borderId="0" xfId="0" applyFont="1" applyFill="1" applyAlignment="1">
      <alignment horizontal="right" vertical="top" wrapText="1"/>
    </xf>
    <xf numFmtId="173" fontId="29" fillId="0" borderId="0" xfId="0" applyNumberFormat="1" applyFont="1" applyAlignment="1">
      <alignment horizontal="right" vertical="top" wrapText="1"/>
    </xf>
    <xf numFmtId="0" fontId="29" fillId="0" borderId="0" xfId="0" applyFont="1" applyAlignment="1">
      <alignment horizontal="right" vertical="top" wrapText="1"/>
    </xf>
    <xf numFmtId="174" fontId="29" fillId="0" borderId="0" xfId="0" applyNumberFormat="1" applyFont="1" applyAlignment="1">
      <alignment horizontal="right" vertical="top" wrapText="1"/>
    </xf>
    <xf numFmtId="0" fontId="27" fillId="10" borderId="0" xfId="0" applyFont="1" applyFill="1" applyAlignment="1">
      <alignment horizontal="left" vertical="top" wrapText="1"/>
    </xf>
    <xf numFmtId="173" fontId="29" fillId="10" borderId="0" xfId="0" applyNumberFormat="1" applyFont="1" applyFill="1" applyAlignment="1">
      <alignment horizontal="right" vertical="top" wrapText="1"/>
    </xf>
    <xf numFmtId="0" fontId="18" fillId="10" borderId="0" xfId="0" applyFont="1" applyFill="1"/>
    <xf numFmtId="0" fontId="27" fillId="0" borderId="0" xfId="0" applyFont="1" applyAlignment="1">
      <alignment vertical="top" wrapText="1"/>
    </xf>
    <xf numFmtId="0" fontId="27" fillId="4" borderId="0" xfId="0" applyFont="1" applyFill="1" applyAlignment="1">
      <alignment vertical="top" wrapText="1"/>
    </xf>
    <xf numFmtId="10" fontId="18" fillId="0" borderId="0" xfId="2" applyNumberFormat="1" applyFont="1"/>
    <xf numFmtId="0" fontId="16" fillId="0" borderId="0" xfId="0" quotePrefix="1" applyFont="1" applyAlignment="1">
      <alignment wrapText="1"/>
    </xf>
    <xf numFmtId="0" fontId="27" fillId="0" borderId="0" xfId="0" applyFont="1"/>
    <xf numFmtId="0" fontId="28" fillId="0" borderId="0" xfId="0" applyFont="1" applyAlignment="1">
      <alignment wrapText="1"/>
    </xf>
    <xf numFmtId="49" fontId="15" fillId="0" borderId="0" xfId="0" applyNumberFormat="1" applyFont="1"/>
    <xf numFmtId="0" fontId="33" fillId="0" borderId="0" xfId="4" applyFont="1" applyAlignment="1"/>
    <xf numFmtId="0" fontId="27" fillId="4" borderId="0" xfId="0" applyFont="1" applyFill="1" applyAlignment="1">
      <alignment wrapText="1"/>
    </xf>
    <xf numFmtId="0" fontId="27" fillId="4" borderId="0" xfId="0" applyFont="1" applyFill="1" applyAlignment="1">
      <alignment horizontal="right" wrapText="1"/>
    </xf>
    <xf numFmtId="0" fontId="31" fillId="4" borderId="0" xfId="0" applyFont="1" applyFill="1" applyAlignment="1">
      <alignment wrapText="1"/>
    </xf>
    <xf numFmtId="0" fontId="31" fillId="4" borderId="0" xfId="0" applyFont="1" applyFill="1" applyAlignment="1">
      <alignment horizontal="right" wrapText="1"/>
    </xf>
    <xf numFmtId="0" fontId="27" fillId="0" borderId="0" xfId="0" applyFont="1" applyAlignment="1">
      <alignment horizontal="left" vertical="top"/>
    </xf>
    <xf numFmtId="166" fontId="27" fillId="0" borderId="0" xfId="0" applyNumberFormat="1" applyFont="1" applyAlignment="1">
      <alignment horizontal="right" vertical="top" wrapText="1"/>
    </xf>
    <xf numFmtId="170" fontId="27" fillId="0" borderId="0" xfId="0" applyNumberFormat="1" applyFont="1" applyAlignment="1">
      <alignment horizontal="right" vertical="top" wrapText="1"/>
    </xf>
    <xf numFmtId="0" fontId="32" fillId="0" borderId="0" xfId="0" applyFont="1" applyAlignment="1">
      <alignment horizontal="left" vertical="top"/>
    </xf>
    <xf numFmtId="168" fontId="32" fillId="0" borderId="0" xfId="0" applyNumberFormat="1" applyFont="1" applyAlignment="1">
      <alignment horizontal="right" vertical="top" wrapText="1"/>
    </xf>
    <xf numFmtId="184" fontId="32" fillId="0" borderId="0" xfId="0" applyNumberFormat="1" applyFont="1" applyAlignment="1">
      <alignment horizontal="right" vertical="top" wrapText="1"/>
    </xf>
    <xf numFmtId="49" fontId="32" fillId="0" borderId="0" xfId="0" applyNumberFormat="1" applyFont="1" applyAlignment="1">
      <alignment horizontal="right" vertical="top" wrapText="1"/>
    </xf>
    <xf numFmtId="49" fontId="29" fillId="0" borderId="0" xfId="0" applyNumberFormat="1" applyFont="1" applyAlignment="1">
      <alignment horizontal="right" vertical="top" wrapText="1"/>
    </xf>
    <xf numFmtId="166" fontId="29" fillId="0" borderId="0" xfId="0" applyNumberFormat="1" applyFont="1" applyAlignment="1">
      <alignment horizontal="right" vertical="top" wrapText="1"/>
    </xf>
    <xf numFmtId="0" fontId="15" fillId="0" borderId="0" xfId="0" applyFont="1" applyAlignment="1">
      <alignment vertical="top" wrapText="1"/>
    </xf>
    <xf numFmtId="171" fontId="29" fillId="0" borderId="0" xfId="0" applyNumberFormat="1" applyFont="1" applyAlignment="1">
      <alignment horizontal="right" vertical="top" wrapText="1"/>
    </xf>
    <xf numFmtId="0" fontId="34" fillId="0" borderId="0" xfId="0" applyFont="1"/>
    <xf numFmtId="0" fontId="15" fillId="7" borderId="0" xfId="0" applyFont="1" applyFill="1"/>
    <xf numFmtId="0" fontId="23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0" fontId="26" fillId="7" borderId="0" xfId="0" applyFont="1" applyFill="1"/>
    <xf numFmtId="14" fontId="16" fillId="0" borderId="0" xfId="0" applyNumberFormat="1" applyFont="1" applyAlignment="1">
      <alignment horizontal="right" wrapText="1"/>
    </xf>
    <xf numFmtId="0" fontId="16" fillId="11" borderId="0" xfId="0" applyFont="1" applyFill="1" applyAlignment="1">
      <alignment horizontal="right" wrapText="1"/>
    </xf>
    <xf numFmtId="0" fontId="16" fillId="0" borderId="0" xfId="0" applyFont="1" applyAlignment="1">
      <alignment horizontal="right" wrapText="1"/>
    </xf>
    <xf numFmtId="0" fontId="18" fillId="0" borderId="0" xfId="0" applyFont="1" applyAlignment="1">
      <alignment vertical="top" wrapText="1" indent="1"/>
    </xf>
    <xf numFmtId="0" fontId="35" fillId="0" borderId="0" xfId="0" applyFont="1" applyAlignment="1">
      <alignment vertical="center" wrapText="1"/>
    </xf>
    <xf numFmtId="166" fontId="18" fillId="0" borderId="0" xfId="0" applyNumberFormat="1" applyFont="1"/>
    <xf numFmtId="10" fontId="18" fillId="0" borderId="24" xfId="0" applyNumberFormat="1" applyFont="1" applyBorder="1"/>
    <xf numFmtId="0" fontId="29" fillId="12" borderId="0" xfId="3" applyFont="1" applyFill="1" applyAlignment="1">
      <alignment vertical="top" wrapText="1"/>
    </xf>
    <xf numFmtId="0" fontId="29" fillId="12" borderId="0" xfId="3" applyFont="1" applyFill="1" applyAlignment="1">
      <alignment horizontal="center" vertical="top" wrapText="1"/>
    </xf>
    <xf numFmtId="175" fontId="29" fillId="12" borderId="0" xfId="3" applyNumberFormat="1" applyFont="1" applyFill="1" applyAlignment="1">
      <alignment horizontal="center" vertical="top" wrapText="1"/>
    </xf>
    <xf numFmtId="10" fontId="23" fillId="12" borderId="0" xfId="0" applyNumberFormat="1" applyFont="1" applyFill="1"/>
    <xf numFmtId="0" fontId="23" fillId="12" borderId="0" xfId="0" applyFont="1" applyFill="1"/>
    <xf numFmtId="10" fontId="16" fillId="0" borderId="27" xfId="0" applyNumberFormat="1" applyFont="1" applyBorder="1"/>
    <xf numFmtId="2" fontId="9" fillId="0" borderId="24" xfId="0" applyNumberFormat="1" applyFont="1" applyBorder="1"/>
    <xf numFmtId="2" fontId="21" fillId="0" borderId="24" xfId="2" applyNumberFormat="1" applyFont="1" applyFill="1" applyBorder="1" applyAlignment="1" applyProtection="1">
      <alignment vertical="center"/>
    </xf>
    <xf numFmtId="2" fontId="21" fillId="0" borderId="24" xfId="0" applyNumberFormat="1" applyFont="1" applyBorder="1" applyAlignment="1">
      <alignment vertical="center"/>
    </xf>
    <xf numFmtId="9" fontId="22" fillId="0" borderId="24" xfId="2" applyFont="1" applyBorder="1"/>
    <xf numFmtId="0" fontId="3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/>
    <xf numFmtId="176" fontId="18" fillId="0" borderId="27" xfId="2" applyNumberFormat="1" applyFont="1" applyBorder="1"/>
    <xf numFmtId="183" fontId="18" fillId="0" borderId="0" xfId="2" applyNumberFormat="1" applyFont="1" applyFill="1" applyAlignment="1">
      <alignment horizontal="center"/>
    </xf>
    <xf numFmtId="10" fontId="18" fillId="0" borderId="0" xfId="2" applyNumberFormat="1" applyFont="1" applyFill="1" applyAlignment="1">
      <alignment horizontal="center"/>
    </xf>
    <xf numFmtId="0" fontId="26" fillId="0" borderId="0" xfId="0" applyFont="1" applyAlignment="1">
      <alignment horizontal="left"/>
    </xf>
    <xf numFmtId="9" fontId="3" fillId="0" borderId="16" xfId="2" applyFont="1" applyBorder="1"/>
    <xf numFmtId="166" fontId="18" fillId="0" borderId="12" xfId="0" applyNumberFormat="1" applyFont="1" applyBorder="1"/>
    <xf numFmtId="2" fontId="18" fillId="0" borderId="12" xfId="0" applyNumberFormat="1" applyFont="1" applyBorder="1"/>
    <xf numFmtId="2" fontId="18" fillId="0" borderId="0" xfId="0" applyNumberFormat="1" applyFont="1"/>
    <xf numFmtId="2" fontId="18" fillId="0" borderId="13" xfId="0" applyNumberFormat="1" applyFont="1" applyBorder="1"/>
    <xf numFmtId="0" fontId="18" fillId="0" borderId="12" xfId="0" applyFont="1" applyBorder="1"/>
    <xf numFmtId="0" fontId="18" fillId="0" borderId="16" xfId="0" applyFont="1" applyBorder="1"/>
    <xf numFmtId="183" fontId="18" fillId="0" borderId="12" xfId="2" applyNumberFormat="1" applyFont="1" applyFill="1" applyBorder="1" applyAlignment="1">
      <alignment horizontal="center"/>
    </xf>
    <xf numFmtId="10" fontId="18" fillId="0" borderId="0" xfId="2" applyNumberFormat="1" applyFont="1" applyFill="1" applyBorder="1" applyAlignment="1">
      <alignment horizontal="center"/>
    </xf>
    <xf numFmtId="10" fontId="18" fillId="0" borderId="0" xfId="2" applyNumberFormat="1" applyFont="1" applyBorder="1"/>
    <xf numFmtId="9" fontId="18" fillId="0" borderId="0" xfId="2" applyFont="1" applyBorder="1"/>
    <xf numFmtId="0" fontId="5" fillId="0" borderId="0" xfId="0" applyFont="1" applyAlignment="1">
      <alignment horizontal="centerContinuous"/>
    </xf>
    <xf numFmtId="0" fontId="16" fillId="15" borderId="37" xfId="0" applyFont="1" applyFill="1" applyBorder="1"/>
    <xf numFmtId="0" fontId="40" fillId="0" borderId="38" xfId="0" applyFont="1" applyBorder="1" applyAlignment="1">
      <alignment horizontal="centerContinuous"/>
    </xf>
    <xf numFmtId="4" fontId="8" fillId="0" borderId="22" xfId="0" applyNumberFormat="1" applyFont="1" applyBorder="1"/>
    <xf numFmtId="4" fontId="3" fillId="0" borderId="24" xfId="0" applyNumberFormat="1" applyFont="1" applyBorder="1"/>
    <xf numFmtId="9" fontId="8" fillId="0" borderId="24" xfId="2" applyFont="1" applyBorder="1"/>
    <xf numFmtId="10" fontId="8" fillId="0" borderId="24" xfId="0" applyNumberFormat="1" applyFont="1" applyBorder="1"/>
    <xf numFmtId="176" fontId="8" fillId="0" borderId="27" xfId="2" applyNumberFormat="1" applyFont="1" applyBorder="1"/>
    <xf numFmtId="0" fontId="16" fillId="0" borderId="0" xfId="0" applyFont="1"/>
    <xf numFmtId="0" fontId="0" fillId="2" borderId="36" xfId="0" applyFill="1" applyBorder="1" applyAlignment="1">
      <alignment horizontal="centerContinuous"/>
    </xf>
    <xf numFmtId="0" fontId="8" fillId="0" borderId="36" xfId="0" applyFont="1" applyBorder="1"/>
    <xf numFmtId="0" fontId="3" fillId="7" borderId="36" xfId="0" applyFont="1" applyFill="1" applyBorder="1"/>
    <xf numFmtId="0" fontId="3" fillId="2" borderId="36" xfId="0" applyFont="1" applyFill="1" applyBorder="1" applyAlignment="1">
      <alignment horizontal="centerContinuous"/>
    </xf>
    <xf numFmtId="0" fontId="9" fillId="2" borderId="36" xfId="0" applyFont="1" applyFill="1" applyBorder="1" applyAlignment="1">
      <alignment horizontal="centerContinuous"/>
    </xf>
    <xf numFmtId="0" fontId="9" fillId="0" borderId="36" xfId="0" applyFont="1" applyBorder="1"/>
    <xf numFmtId="0" fontId="8" fillId="0" borderId="36" xfId="0" applyFont="1" applyBorder="1" applyAlignment="1">
      <alignment horizontal="center"/>
    </xf>
    <xf numFmtId="0" fontId="18" fillId="2" borderId="36" xfId="0" applyFont="1" applyFill="1" applyBorder="1" applyAlignment="1">
      <alignment horizontal="centerContinuous"/>
    </xf>
    <xf numFmtId="0" fontId="26" fillId="2" borderId="36" xfId="0" applyFont="1" applyFill="1" applyBorder="1" applyAlignment="1">
      <alignment horizontal="center"/>
    </xf>
    <xf numFmtId="0" fontId="26" fillId="2" borderId="36" xfId="0" applyFont="1" applyFill="1" applyBorder="1"/>
    <xf numFmtId="0" fontId="15" fillId="2" borderId="36" xfId="0" applyFont="1" applyFill="1" applyBorder="1"/>
    <xf numFmtId="0" fontId="26" fillId="2" borderId="36" xfId="0" applyFont="1" applyFill="1" applyBorder="1" applyAlignment="1">
      <alignment horizontal="left"/>
    </xf>
    <xf numFmtId="0" fontId="23" fillId="0" borderId="15" xfId="0" applyFont="1" applyBorder="1" applyAlignment="1">
      <alignment horizontal="centerContinuous"/>
    </xf>
    <xf numFmtId="0" fontId="18" fillId="0" borderId="15" xfId="0" applyFont="1" applyBorder="1" applyAlignment="1">
      <alignment horizontal="centerContinuous"/>
    </xf>
    <xf numFmtId="186" fontId="18" fillId="2" borderId="0" xfId="0" applyNumberFormat="1" applyFont="1" applyFill="1"/>
    <xf numFmtId="185" fontId="18" fillId="13" borderId="0" xfId="0" applyNumberFormat="1" applyFont="1" applyFill="1"/>
    <xf numFmtId="43" fontId="41" fillId="0" borderId="0" xfId="0" applyNumberFormat="1" applyFont="1"/>
    <xf numFmtId="43" fontId="18" fillId="0" borderId="0" xfId="0" applyNumberFormat="1" applyFont="1"/>
    <xf numFmtId="43" fontId="23" fillId="0" borderId="0" xfId="0" applyNumberFormat="1" applyFont="1"/>
    <xf numFmtId="9" fontId="41" fillId="0" borderId="0" xfId="2" applyFont="1"/>
    <xf numFmtId="44" fontId="41" fillId="0" borderId="0" xfId="0" applyNumberFormat="1" applyFont="1"/>
    <xf numFmtId="44" fontId="18" fillId="0" borderId="0" xfId="0" applyNumberFormat="1" applyFont="1"/>
    <xf numFmtId="43" fontId="18" fillId="0" borderId="15" xfId="0" applyNumberFormat="1" applyFont="1" applyBorder="1" applyAlignment="1">
      <alignment horizontal="centerContinuous"/>
    </xf>
    <xf numFmtId="177" fontId="18" fillId="0" borderId="36" xfId="0" applyNumberFormat="1" applyFont="1" applyBorder="1"/>
    <xf numFmtId="44" fontId="18" fillId="14" borderId="0" xfId="1" applyFont="1" applyFill="1"/>
    <xf numFmtId="44" fontId="18" fillId="0" borderId="0" xfId="1" applyFont="1"/>
    <xf numFmtId="0" fontId="18" fillId="0" borderId="0" xfId="0" applyFont="1" applyAlignment="1">
      <alignment horizontal="right"/>
    </xf>
    <xf numFmtId="44" fontId="18" fillId="0" borderId="0" xfId="1" applyFont="1" applyFill="1"/>
    <xf numFmtId="44" fontId="23" fillId="0" borderId="0" xfId="0" applyNumberFormat="1" applyFont="1"/>
    <xf numFmtId="177" fontId="18" fillId="0" borderId="0" xfId="0" applyNumberFormat="1" applyFont="1"/>
    <xf numFmtId="44" fontId="18" fillId="14" borderId="0" xfId="0" applyNumberFormat="1" applyFont="1" applyFill="1"/>
    <xf numFmtId="0" fontId="18" fillId="16" borderId="0" xfId="0" applyFont="1" applyFill="1"/>
    <xf numFmtId="44" fontId="18" fillId="16" borderId="0" xfId="0" applyNumberFormat="1" applyFont="1" applyFill="1"/>
    <xf numFmtId="0" fontId="18" fillId="0" borderId="38" xfId="0" applyFont="1" applyBorder="1" applyAlignment="1">
      <alignment horizontal="centerContinuous"/>
    </xf>
    <xf numFmtId="44" fontId="18" fillId="0" borderId="38" xfId="0" applyNumberFormat="1" applyFont="1" applyBorder="1" applyAlignment="1">
      <alignment horizontal="centerContinuous"/>
    </xf>
    <xf numFmtId="0" fontId="23" fillId="0" borderId="15" xfId="0" applyFont="1" applyBorder="1"/>
    <xf numFmtId="44" fontId="23" fillId="0" borderId="15" xfId="0" applyNumberFormat="1" applyFont="1" applyBorder="1"/>
    <xf numFmtId="44" fontId="18" fillId="0" borderId="15" xfId="0" applyNumberFormat="1" applyFont="1" applyBorder="1" applyAlignment="1">
      <alignment horizontal="centerContinuous"/>
    </xf>
    <xf numFmtId="0" fontId="41" fillId="0" borderId="0" xfId="0" applyFont="1"/>
    <xf numFmtId="44" fontId="42" fillId="0" borderId="0" xfId="0" applyNumberFormat="1" applyFont="1"/>
    <xf numFmtId="179" fontId="18" fillId="0" borderId="0" xfId="0" applyNumberFormat="1" applyFont="1"/>
    <xf numFmtId="44" fontId="15" fillId="0" borderId="0" xfId="0" applyNumberFormat="1" applyFont="1"/>
    <xf numFmtId="0" fontId="23" fillId="0" borderId="26" xfId="0" applyFont="1" applyBorder="1" applyAlignment="1">
      <alignment horizontal="centerContinuous"/>
    </xf>
    <xf numFmtId="0" fontId="18" fillId="0" borderId="26" xfId="0" applyFont="1" applyBorder="1" applyAlignment="1">
      <alignment horizontal="centerContinuous"/>
    </xf>
    <xf numFmtId="166" fontId="27" fillId="0" borderId="39" xfId="3" applyNumberFormat="1" applyFont="1" applyBorder="1" applyAlignment="1">
      <alignment horizontal="right" vertical="top" wrapText="1"/>
    </xf>
    <xf numFmtId="0" fontId="0" fillId="2" borderId="40" xfId="0" applyFill="1" applyBorder="1" applyAlignment="1">
      <alignment horizontal="centerContinuous"/>
    </xf>
    <xf numFmtId="0" fontId="0" fillId="2" borderId="41" xfId="0" applyFill="1" applyBorder="1" applyAlignment="1">
      <alignment horizontal="centerContinuous"/>
    </xf>
    <xf numFmtId="0" fontId="8" fillId="0" borderId="42" xfId="0" applyFont="1" applyBorder="1"/>
    <xf numFmtId="0" fontId="13" fillId="0" borderId="43" xfId="0" applyFont="1" applyBorder="1"/>
    <xf numFmtId="0" fontId="12" fillId="0" borderId="42" xfId="0" applyFont="1" applyBorder="1" applyAlignment="1">
      <alignment horizontal="left" vertical="top"/>
    </xf>
    <xf numFmtId="177" fontId="14" fillId="0" borderId="43" xfId="0" applyNumberFormat="1" applyFont="1" applyBorder="1" applyAlignment="1">
      <alignment horizontal="right"/>
    </xf>
    <xf numFmtId="0" fontId="9" fillId="7" borderId="44" xfId="0" applyFont="1" applyFill="1" applyBorder="1"/>
    <xf numFmtId="0" fontId="3" fillId="7" borderId="45" xfId="0" applyFont="1" applyFill="1" applyBorder="1"/>
    <xf numFmtId="176" fontId="7" fillId="7" borderId="46" xfId="0" applyNumberFormat="1" applyFont="1" applyFill="1" applyBorder="1"/>
    <xf numFmtId="0" fontId="9" fillId="7" borderId="40" xfId="0" applyFont="1" applyFill="1" applyBorder="1"/>
    <xf numFmtId="176" fontId="7" fillId="7" borderId="41" xfId="0" applyNumberFormat="1" applyFont="1" applyFill="1" applyBorder="1"/>
    <xf numFmtId="0" fontId="9" fillId="2" borderId="40" xfId="0" applyFont="1" applyFill="1" applyBorder="1" applyAlignment="1">
      <alignment horizontal="centerContinuous"/>
    </xf>
    <xf numFmtId="176" fontId="7" fillId="2" borderId="41" xfId="0" applyNumberFormat="1" applyFont="1" applyFill="1" applyBorder="1" applyAlignment="1">
      <alignment horizontal="centerContinuous"/>
    </xf>
    <xf numFmtId="0" fontId="9" fillId="2" borderId="44" xfId="0" applyFont="1" applyFill="1" applyBorder="1" applyAlignment="1">
      <alignment horizontal="centerContinuous"/>
    </xf>
    <xf numFmtId="0" fontId="9" fillId="2" borderId="45" xfId="0" applyFont="1" applyFill="1" applyBorder="1" applyAlignment="1">
      <alignment horizontal="centerContinuous"/>
    </xf>
    <xf numFmtId="0" fontId="8" fillId="2" borderId="45" xfId="0" applyFont="1" applyFill="1" applyBorder="1" applyAlignment="1">
      <alignment horizontal="centerContinuous"/>
    </xf>
    <xf numFmtId="0" fontId="9" fillId="2" borderId="46" xfId="0" applyFont="1" applyFill="1" applyBorder="1" applyAlignment="1">
      <alignment horizontal="centerContinuous"/>
    </xf>
    <xf numFmtId="0" fontId="9" fillId="0" borderId="40" xfId="0" applyFont="1" applyBorder="1"/>
    <xf numFmtId="0" fontId="9" fillId="0" borderId="41" xfId="0" applyFont="1" applyBorder="1" applyAlignment="1">
      <alignment horizontal="center"/>
    </xf>
    <xf numFmtId="0" fontId="18" fillId="2" borderId="40" xfId="0" applyFont="1" applyFill="1" applyBorder="1" applyAlignment="1">
      <alignment horizontal="centerContinuous"/>
    </xf>
    <xf numFmtId="0" fontId="18" fillId="2" borderId="41" xfId="0" applyFont="1" applyFill="1" applyBorder="1" applyAlignment="1">
      <alignment horizontal="centerContinuous"/>
    </xf>
    <xf numFmtId="0" fontId="3" fillId="2" borderId="41" xfId="0" applyFont="1" applyFill="1" applyBorder="1" applyAlignment="1">
      <alignment horizontal="centerContinuous"/>
    </xf>
    <xf numFmtId="0" fontId="26" fillId="2" borderId="40" xfId="0" applyFont="1" applyFill="1" applyBorder="1" applyAlignment="1">
      <alignment horizontal="center"/>
    </xf>
    <xf numFmtId="0" fontId="18" fillId="2" borderId="41" xfId="0" applyFont="1" applyFill="1" applyBorder="1"/>
    <xf numFmtId="0" fontId="23" fillId="0" borderId="47" xfId="0" applyFont="1" applyBorder="1"/>
    <xf numFmtId="44" fontId="23" fillId="0" borderId="47" xfId="0" applyNumberFormat="1" applyFont="1" applyBorder="1"/>
    <xf numFmtId="182" fontId="18" fillId="0" borderId="24" xfId="0" applyNumberFormat="1" applyFont="1" applyBorder="1"/>
    <xf numFmtId="0" fontId="25" fillId="17" borderId="20" xfId="0" applyFont="1" applyFill="1" applyBorder="1"/>
    <xf numFmtId="176" fontId="25" fillId="17" borderId="22" xfId="2" applyNumberFormat="1" applyFont="1" applyFill="1" applyBorder="1"/>
    <xf numFmtId="0" fontId="25" fillId="17" borderId="23" xfId="0" applyFont="1" applyFill="1" applyBorder="1"/>
    <xf numFmtId="176" fontId="25" fillId="17" borderId="24" xfId="2" applyNumberFormat="1" applyFont="1" applyFill="1" applyBorder="1"/>
    <xf numFmtId="10" fontId="25" fillId="17" borderId="24" xfId="2" applyNumberFormat="1" applyFont="1" applyFill="1" applyBorder="1"/>
    <xf numFmtId="0" fontId="25" fillId="17" borderId="25" xfId="0" applyFont="1" applyFill="1" applyBorder="1"/>
    <xf numFmtId="9" fontId="25" fillId="17" borderId="27" xfId="0" applyNumberFormat="1" applyFont="1" applyFill="1" applyBorder="1"/>
    <xf numFmtId="0" fontId="9" fillId="18" borderId="0" xfId="0" applyFont="1" applyFill="1"/>
    <xf numFmtId="0" fontId="43" fillId="13" borderId="0" xfId="0" applyFont="1" applyFill="1" applyAlignment="1">
      <alignment horizontal="centerContinuous"/>
    </xf>
    <xf numFmtId="0" fontId="8" fillId="13" borderId="0" xfId="0" applyFont="1" applyFill="1" applyAlignment="1">
      <alignment horizontal="centerContinuous"/>
    </xf>
    <xf numFmtId="0" fontId="9" fillId="13" borderId="0" xfId="0" applyFont="1" applyFill="1"/>
    <xf numFmtId="0" fontId="25" fillId="0" borderId="0" xfId="0" applyFont="1"/>
    <xf numFmtId="0" fontId="9" fillId="0" borderId="0" xfId="0" applyFont="1" applyAlignment="1">
      <alignment horizontal="left" indent="7"/>
    </xf>
    <xf numFmtId="0" fontId="25" fillId="0" borderId="0" xfId="0" applyFont="1" applyAlignment="1">
      <alignment horizontal="left" indent="2"/>
    </xf>
    <xf numFmtId="0" fontId="9" fillId="0" borderId="26" xfId="0" applyFont="1" applyBorder="1" applyAlignment="1">
      <alignment horizontal="left" indent="2"/>
    </xf>
    <xf numFmtId="0" fontId="24" fillId="0" borderId="0" xfId="0" applyFont="1"/>
    <xf numFmtId="179" fontId="9" fillId="0" borderId="0" xfId="1" applyNumberFormat="1" applyFont="1"/>
    <xf numFmtId="1" fontId="9" fillId="0" borderId="0" xfId="1" applyNumberFormat="1" applyFont="1"/>
    <xf numFmtId="1" fontId="0" fillId="0" borderId="0" xfId="0" applyNumberFormat="1"/>
    <xf numFmtId="1" fontId="25" fillId="0" borderId="0" xfId="0" applyNumberFormat="1" applyFont="1"/>
    <xf numFmtId="176" fontId="9" fillId="0" borderId="0" xfId="2" applyNumberFormat="1" applyFont="1" applyFill="1"/>
    <xf numFmtId="176" fontId="25" fillId="0" borderId="0" xfId="2" applyNumberFormat="1" applyFont="1" applyFill="1"/>
    <xf numFmtId="10" fontId="9" fillId="0" borderId="0" xfId="0" applyNumberFormat="1" applyFont="1"/>
    <xf numFmtId="1" fontId="25" fillId="0" borderId="20" xfId="0" applyNumberFormat="1" applyFont="1" applyBorder="1"/>
    <xf numFmtId="1" fontId="25" fillId="0" borderId="21" xfId="0" applyNumberFormat="1" applyFont="1" applyBorder="1"/>
    <xf numFmtId="1" fontId="25" fillId="0" borderId="23" xfId="0" applyNumberFormat="1" applyFont="1" applyBorder="1"/>
    <xf numFmtId="10" fontId="25" fillId="0" borderId="0" xfId="0" applyNumberFormat="1" applyFont="1"/>
    <xf numFmtId="0" fontId="25" fillId="0" borderId="15" xfId="0" applyFont="1" applyBorder="1" applyAlignment="1">
      <alignment horizontal="centerContinuous"/>
    </xf>
    <xf numFmtId="173" fontId="25" fillId="0" borderId="0" xfId="0" applyNumberFormat="1" applyFont="1"/>
    <xf numFmtId="181" fontId="25" fillId="0" borderId="49" xfId="0" applyNumberFormat="1" applyFont="1" applyBorder="1"/>
    <xf numFmtId="0" fontId="25" fillId="0" borderId="14" xfId="0" applyFont="1" applyBorder="1"/>
    <xf numFmtId="181" fontId="25" fillId="0" borderId="50" xfId="0" applyNumberFormat="1" applyFont="1" applyBorder="1"/>
    <xf numFmtId="0" fontId="45" fillId="0" borderId="0" xfId="0" applyFont="1"/>
    <xf numFmtId="0" fontId="25" fillId="0" borderId="20" xfId="0" applyFont="1" applyBorder="1"/>
    <xf numFmtId="0" fontId="25" fillId="0" borderId="22" xfId="0" applyFont="1" applyBorder="1"/>
    <xf numFmtId="0" fontId="25" fillId="0" borderId="23" xfId="0" applyFont="1" applyBorder="1"/>
    <xf numFmtId="179" fontId="25" fillId="0" borderId="24" xfId="1" applyNumberFormat="1" applyFont="1" applyBorder="1"/>
    <xf numFmtId="1" fontId="3" fillId="0" borderId="0" xfId="0" applyNumberFormat="1" applyFont="1"/>
    <xf numFmtId="0" fontId="25" fillId="0" borderId="25" xfId="0" applyFont="1" applyBorder="1"/>
    <xf numFmtId="44" fontId="25" fillId="0" borderId="27" xfId="1" applyFont="1" applyBorder="1"/>
    <xf numFmtId="0" fontId="9" fillId="0" borderId="51" xfId="0" applyFont="1" applyBorder="1"/>
    <xf numFmtId="179" fontId="9" fillId="0" borderId="22" xfId="1" applyNumberFormat="1" applyFont="1" applyBorder="1"/>
    <xf numFmtId="0" fontId="9" fillId="0" borderId="52" xfId="0" applyFont="1" applyBorder="1" applyAlignment="1">
      <alignment horizontal="left" indent="2"/>
    </xf>
    <xf numFmtId="179" fontId="9" fillId="0" borderId="24" xfId="1" applyNumberFormat="1" applyFont="1" applyBorder="1"/>
    <xf numFmtId="0" fontId="25" fillId="0" borderId="53" xfId="0" applyFont="1" applyBorder="1" applyAlignment="1">
      <alignment horizontal="left" indent="2"/>
    </xf>
    <xf numFmtId="179" fontId="25" fillId="0" borderId="27" xfId="1" applyNumberFormat="1" applyFont="1" applyBorder="1"/>
    <xf numFmtId="179" fontId="9" fillId="0" borderId="22" xfId="0" applyNumberFormat="1" applyFont="1" applyBorder="1"/>
    <xf numFmtId="179" fontId="9" fillId="0" borderId="24" xfId="0" applyNumberFormat="1" applyFont="1" applyBorder="1"/>
    <xf numFmtId="179" fontId="25" fillId="0" borderId="27" xfId="0" applyNumberFormat="1" applyFont="1" applyBorder="1"/>
    <xf numFmtId="0" fontId="25" fillId="0" borderId="54" xfId="0" applyFont="1" applyBorder="1"/>
    <xf numFmtId="179" fontId="25" fillId="0" borderId="55" xfId="0" applyNumberFormat="1" applyFont="1" applyBorder="1"/>
    <xf numFmtId="0" fontId="9" fillId="18" borderId="0" xfId="0" applyFont="1" applyFill="1" applyAlignment="1">
      <alignment horizontal="centerContinuous"/>
    </xf>
    <xf numFmtId="179" fontId="18" fillId="0" borderId="0" xfId="1" applyNumberFormat="1" applyFont="1"/>
    <xf numFmtId="0" fontId="23" fillId="0" borderId="56" xfId="0" applyFont="1" applyBorder="1"/>
    <xf numFmtId="179" fontId="23" fillId="0" borderId="47" xfId="1" applyNumberFormat="1" applyFont="1" applyBorder="1"/>
    <xf numFmtId="0" fontId="23" fillId="0" borderId="57" xfId="0" applyFont="1" applyBorder="1"/>
    <xf numFmtId="0" fontId="23" fillId="0" borderId="48" xfId="0" applyFont="1" applyBorder="1"/>
    <xf numFmtId="0" fontId="18" fillId="0" borderId="58" xfId="0" applyFont="1" applyBorder="1"/>
    <xf numFmtId="0" fontId="23" fillId="0" borderId="23" xfId="0" applyFont="1" applyBorder="1"/>
    <xf numFmtId="0" fontId="46" fillId="0" borderId="0" xfId="0" applyFont="1"/>
    <xf numFmtId="0" fontId="47" fillId="0" borderId="0" xfId="0" applyFont="1"/>
    <xf numFmtId="179" fontId="23" fillId="0" borderId="0" xfId="1" applyNumberFormat="1" applyFont="1" applyBorder="1"/>
    <xf numFmtId="179" fontId="15" fillId="0" borderId="0" xfId="1" applyNumberFormat="1" applyFont="1"/>
    <xf numFmtId="0" fontId="23" fillId="0" borderId="54" xfId="0" applyFont="1" applyBorder="1"/>
    <xf numFmtId="179" fontId="23" fillId="0" borderId="59" xfId="1" applyNumberFormat="1" applyFont="1" applyBorder="1"/>
    <xf numFmtId="0" fontId="23" fillId="0" borderId="59" xfId="0" applyFont="1" applyBorder="1"/>
    <xf numFmtId="179" fontId="23" fillId="0" borderId="59" xfId="0" applyNumberFormat="1" applyFont="1" applyBorder="1"/>
    <xf numFmtId="0" fontId="23" fillId="0" borderId="55" xfId="0" applyFont="1" applyBorder="1"/>
    <xf numFmtId="179" fontId="23" fillId="0" borderId="0" xfId="0" applyNumberFormat="1" applyFont="1"/>
    <xf numFmtId="0" fontId="23" fillId="0" borderId="60" xfId="0" applyFont="1" applyBorder="1"/>
    <xf numFmtId="179" fontId="23" fillId="0" borderId="21" xfId="1" applyNumberFormat="1" applyFont="1" applyBorder="1"/>
    <xf numFmtId="179" fontId="26" fillId="0" borderId="36" xfId="1" applyNumberFormat="1" applyFont="1" applyBorder="1"/>
    <xf numFmtId="179" fontId="23" fillId="0" borderId="41" xfId="1" applyNumberFormat="1" applyFont="1" applyBorder="1"/>
    <xf numFmtId="179" fontId="15" fillId="0" borderId="36" xfId="1" applyNumberFormat="1" applyFont="1" applyBorder="1"/>
    <xf numFmtId="179" fontId="18" fillId="0" borderId="0" xfId="1" applyNumberFormat="1" applyFont="1" applyBorder="1"/>
    <xf numFmtId="179" fontId="26" fillId="0" borderId="26" xfId="1" applyNumberFormat="1" applyFont="1" applyBorder="1"/>
    <xf numFmtId="0" fontId="15" fillId="0" borderId="40" xfId="0" applyFont="1" applyBorder="1"/>
    <xf numFmtId="174" fontId="26" fillId="0" borderId="36" xfId="0" applyNumberFormat="1" applyFont="1" applyBorder="1"/>
    <xf numFmtId="174" fontId="26" fillId="0" borderId="41" xfId="0" applyNumberFormat="1" applyFont="1" applyBorder="1"/>
    <xf numFmtId="0" fontId="15" fillId="0" borderId="12" xfId="0" applyFont="1" applyBorder="1"/>
    <xf numFmtId="174" fontId="26" fillId="0" borderId="0" xfId="0" applyNumberFormat="1" applyFont="1"/>
    <xf numFmtId="174" fontId="26" fillId="0" borderId="13" xfId="0" applyNumberFormat="1" applyFont="1" applyBorder="1"/>
    <xf numFmtId="0" fontId="15" fillId="0" borderId="14" xfId="0" applyFont="1" applyBorder="1"/>
    <xf numFmtId="174" fontId="26" fillId="0" borderId="15" xfId="0" applyNumberFormat="1" applyFont="1" applyBorder="1"/>
    <xf numFmtId="174" fontId="26" fillId="0" borderId="16" xfId="0" applyNumberFormat="1" applyFont="1" applyBorder="1"/>
    <xf numFmtId="9" fontId="0" fillId="0" borderId="0" xfId="0" applyNumberFormat="1"/>
    <xf numFmtId="0" fontId="48" fillId="0" borderId="0" xfId="0" applyFont="1"/>
    <xf numFmtId="0" fontId="48" fillId="0" borderId="24" xfId="0" applyFont="1" applyBorder="1"/>
    <xf numFmtId="0" fontId="48" fillId="0" borderId="23" xfId="0" applyFont="1" applyBorder="1" applyAlignment="1">
      <alignment horizontal="left" indent="3"/>
    </xf>
    <xf numFmtId="0" fontId="48" fillId="0" borderId="0" xfId="0" applyFont="1" applyAlignment="1">
      <alignment horizontal="left" indent="3"/>
    </xf>
    <xf numFmtId="10" fontId="49" fillId="0" borderId="24" xfId="0" applyNumberFormat="1" applyFont="1" applyBorder="1"/>
    <xf numFmtId="0" fontId="50" fillId="0" borderId="23" xfId="0" applyFont="1" applyBorder="1"/>
    <xf numFmtId="0" fontId="25" fillId="0" borderId="12" xfId="5" applyFont="1" applyBorder="1"/>
    <xf numFmtId="0" fontId="25" fillId="0" borderId="0" xfId="5" applyFont="1" applyAlignment="1">
      <alignment vertical="center"/>
    </xf>
    <xf numFmtId="176" fontId="25" fillId="0" borderId="15" xfId="2" applyNumberFormat="1" applyFont="1" applyBorder="1"/>
    <xf numFmtId="176" fontId="25" fillId="0" borderId="15" xfId="0" applyNumberFormat="1" applyFont="1" applyBorder="1"/>
    <xf numFmtId="176" fontId="51" fillId="18" borderId="61" xfId="0" applyNumberFormat="1" applyFont="1" applyFill="1" applyBorder="1"/>
    <xf numFmtId="0" fontId="52" fillId="0" borderId="0" xfId="0" applyFont="1"/>
    <xf numFmtId="0" fontId="5" fillId="0" borderId="0" xfId="0" applyFont="1"/>
    <xf numFmtId="0" fontId="53" fillId="0" borderId="0" xfId="0" applyFont="1"/>
    <xf numFmtId="0" fontId="54" fillId="0" borderId="0" xfId="0" applyFont="1"/>
    <xf numFmtId="0" fontId="23" fillId="0" borderId="13" xfId="0" applyFont="1" applyBorder="1"/>
    <xf numFmtId="0" fontId="46" fillId="0" borderId="62" xfId="0" applyFont="1" applyBorder="1"/>
    <xf numFmtId="0" fontId="46" fillId="0" borderId="13" xfId="0" applyFont="1" applyBorder="1"/>
    <xf numFmtId="0" fontId="18" fillId="0" borderId="63" xfId="0" applyFont="1" applyBorder="1"/>
    <xf numFmtId="187" fontId="18" fillId="0" borderId="0" xfId="0" applyNumberFormat="1" applyFont="1"/>
    <xf numFmtId="0" fontId="26" fillId="0" borderId="0" xfId="0" applyFont="1" applyAlignment="1">
      <alignment horizontal="centerContinuous"/>
    </xf>
    <xf numFmtId="10" fontId="0" fillId="0" borderId="0" xfId="0" applyNumberFormat="1"/>
    <xf numFmtId="179" fontId="26" fillId="0" borderId="15" xfId="1" applyNumberFormat="1" applyFont="1" applyBorder="1"/>
    <xf numFmtId="179" fontId="23" fillId="0" borderId="15" xfId="1" applyNumberFormat="1" applyFont="1" applyBorder="1"/>
    <xf numFmtId="179" fontId="18" fillId="0" borderId="15" xfId="1" applyNumberFormat="1" applyFont="1" applyBorder="1"/>
    <xf numFmtId="1" fontId="25" fillId="0" borderId="22" xfId="0" applyNumberFormat="1" applyFont="1" applyBorder="1"/>
    <xf numFmtId="1" fontId="25" fillId="0" borderId="24" xfId="0" applyNumberFormat="1" applyFont="1" applyBorder="1"/>
    <xf numFmtId="1" fontId="25" fillId="8" borderId="0" xfId="0" applyNumberFormat="1" applyFont="1" applyFill="1"/>
    <xf numFmtId="1" fontId="25" fillId="0" borderId="25" xfId="0" applyNumberFormat="1" applyFont="1" applyBorder="1"/>
    <xf numFmtId="1" fontId="25" fillId="0" borderId="26" xfId="0" applyNumberFormat="1" applyFont="1" applyBorder="1"/>
    <xf numFmtId="1" fontId="25" fillId="0" borderId="27" xfId="0" applyNumberFormat="1" applyFont="1" applyBorder="1"/>
    <xf numFmtId="0" fontId="44" fillId="0" borderId="51" xfId="0" applyFont="1" applyBorder="1"/>
    <xf numFmtId="0" fontId="44" fillId="0" borderId="52" xfId="0" applyFont="1" applyBorder="1"/>
    <xf numFmtId="0" fontId="43" fillId="0" borderId="65" xfId="0" applyFont="1" applyBorder="1"/>
    <xf numFmtId="0" fontId="25" fillId="19" borderId="64" xfId="0" applyFont="1" applyFill="1" applyBorder="1" applyAlignment="1">
      <alignment horizontal="centerContinuous"/>
    </xf>
    <xf numFmtId="0" fontId="25" fillId="17" borderId="54" xfId="0" applyFont="1" applyFill="1" applyBorder="1" applyAlignment="1">
      <alignment horizontal="centerContinuous"/>
    </xf>
    <xf numFmtId="0" fontId="25" fillId="17" borderId="55" xfId="0" applyFont="1" applyFill="1" applyBorder="1" applyAlignment="1">
      <alignment horizontal="centerContinuous"/>
    </xf>
    <xf numFmtId="0" fontId="27" fillId="4" borderId="0" xfId="3" applyFont="1" applyFill="1" applyAlignment="1">
      <alignment horizontal="center" wrapText="1"/>
    </xf>
    <xf numFmtId="0" fontId="29" fillId="0" borderId="0" xfId="3" applyFont="1" applyAlignment="1">
      <alignment vertical="top" wrapText="1"/>
    </xf>
    <xf numFmtId="0" fontId="0" fillId="0" borderId="0" xfId="0" applyFill="1"/>
  </cellXfs>
  <cellStyles count="6">
    <cellStyle name="Currency" xfId="1" builtinId="4"/>
    <cellStyle name="Invisible" xfId="4"/>
    <cellStyle name="Normal" xfId="0" builtinId="0"/>
    <cellStyle name="Normal 2" xfId="3"/>
    <cellStyle name="Normal_TrainingDCF1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214312</xdr:colOff>
      <xdr:row>5</xdr:row>
      <xdr:rowOff>71438</xdr:rowOff>
    </xdr:from>
    <xdr:to>
      <xdr:col>7</xdr:col>
      <xdr:colOff>247649</xdr:colOff>
      <xdr:row>7</xdr:row>
      <xdr:rowOff>176213</xdr:rowOff>
    </xdr:to>
    <xdr:pic>
      <xdr:nvPicPr>
        <xdr:cNvPr id="2" name="Picture 1" descr="A blue and white logo&#10;&#10;Description automatically generated">
          <a:extLst>
            <a:ext uri="{FF2B5EF4-FFF2-40B4-BE49-F238E27FC236}">
              <a16:creationId xmlns:a16="http://schemas.microsoft.com/office/drawing/2014/main" id="{856BFB99-CAEF-EB3A-CB56-5177A777A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3812" y="1023938"/>
          <a:ext cx="1819275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71438</xdr:colOff>
      <xdr:row>13</xdr:row>
      <xdr:rowOff>130968</xdr:rowOff>
    </xdr:from>
    <xdr:to>
      <xdr:col>13</xdr:col>
      <xdr:colOff>233680</xdr:colOff>
      <xdr:row>16</xdr:row>
      <xdr:rowOff>44608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AEDE6DB-F152-8F46-42EF-36C743737FBC}"/>
            </a:ext>
          </a:extLst>
        </xdr:cNvPr>
        <xdr:cNvSpPr/>
      </xdr:nvSpPr>
      <xdr:spPr>
        <a:xfrm>
          <a:off x="71438" y="2607468"/>
          <a:ext cx="9139555" cy="48514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800"/>
            </a:spcAft>
          </a:pPr>
          <a:r>
            <a:rPr lang="en-US" sz="2400" b="1" kern="100">
              <a:effectLst/>
              <a:latin typeface="Times New Roman" panose="02020603050405020304" pitchFamily="18" charset="0"/>
              <a:ea typeface="Aptos" panose="020B0004020202020204" pitchFamily="34" charset="0"/>
              <a:cs typeface="Times New Roman" panose="02020603050405020304" pitchFamily="18" charset="0"/>
            </a:rPr>
            <a:t>NETFLIX</a:t>
          </a:r>
          <a:r>
            <a:rPr lang="en-US" sz="2400" kern="100">
              <a:effectLst/>
              <a:latin typeface="Times New Roman" panose="02020603050405020304" pitchFamily="18" charset="0"/>
              <a:ea typeface="Aptos" panose="020B0004020202020204" pitchFamily="34" charset="0"/>
              <a:cs typeface="Times New Roman" panose="02020603050405020304" pitchFamily="18" charset="0"/>
            </a:rPr>
            <a:t> </a:t>
          </a:r>
          <a:r>
            <a:rPr lang="en-US" sz="2400" b="1" kern="100">
              <a:effectLst/>
              <a:latin typeface="Times New Roman" panose="02020603050405020304" pitchFamily="18" charset="0"/>
              <a:ea typeface="Aptos" panose="020B0004020202020204" pitchFamily="34" charset="0"/>
              <a:cs typeface="Times New Roman" panose="02020603050405020304" pitchFamily="18" charset="0"/>
            </a:rPr>
            <a:t>FINANCIAL</a:t>
          </a:r>
          <a:r>
            <a:rPr lang="en-US" sz="2400" kern="100">
              <a:effectLst/>
              <a:latin typeface="Times New Roman" panose="02020603050405020304" pitchFamily="18" charset="0"/>
              <a:ea typeface="Aptos" panose="020B0004020202020204" pitchFamily="34" charset="0"/>
              <a:cs typeface="Times New Roman" panose="02020603050405020304" pitchFamily="18" charset="0"/>
            </a:rPr>
            <a:t> </a:t>
          </a:r>
          <a:r>
            <a:rPr lang="en-US" sz="2400" b="1" kern="100">
              <a:effectLst/>
              <a:latin typeface="Times New Roman" panose="02020603050405020304" pitchFamily="18" charset="0"/>
              <a:ea typeface="Aptos" panose="020B0004020202020204" pitchFamily="34" charset="0"/>
              <a:cs typeface="Times New Roman" panose="02020603050405020304" pitchFamily="18" charset="0"/>
            </a:rPr>
            <a:t>MODELLING</a:t>
          </a:r>
          <a:endParaRPr lang="en-US" sz="1200" kern="100">
            <a:effectLst/>
            <a:ea typeface="Aptos" panose="020B0004020202020204" pitchFamily="34" charset="0"/>
            <a:cs typeface="Times New Roman" panose="02020603050405020304" pitchFamily="18" charset="0"/>
          </a:endParaRPr>
        </a:p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800"/>
            </a:spcAft>
          </a:pPr>
          <a:r>
            <a:rPr lang="en-US" sz="1200" kern="100">
              <a:effectLst/>
              <a:ea typeface="Aptos" panose="020B000402020202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1057275</xdr:colOff>
      <xdr:row>3</xdr:row>
      <xdr:rowOff>95250</xdr:rowOff>
    </xdr:from>
    <xdr:to>
      <xdr:col>2</xdr:col>
      <xdr:colOff>1057275</xdr:colOff>
      <xdr:row>6</xdr:row>
      <xdr:rowOff>28575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B497D8E-05B0-440B-A5D9-0531E9EE1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628650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509</xdr:row>
      <xdr:rowOff>0</xdr:rowOff>
    </xdr:from>
    <xdr:to>
      <xdr:col>1</xdr:col>
      <xdr:colOff>666750</xdr:colOff>
      <xdr:row>519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6A9EBF6C-6C70-4C52-95CA-12B7BD0DF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74400"/>
          <a:ext cx="5600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5551788</xdr:colOff>
      <xdr:row>25</xdr:row>
      <xdr:rowOff>75246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547669" cy="5223895"/>
        </a:xfrm>
        <a:prstGeom prst="rect">
          <a:avLst/>
        </a:prstGeom>
      </xdr:spPr>
    </xdr:pic>
    <xdr:clientData/>
  </xdr:twoCellAnchor>
  <xdr:twoCellAnchor editAs="oneCell">
    <xdr:from>
      <xdr:col>1</xdr:col>
      <xdr:colOff>1155779</xdr:colOff>
      <xdr:row>1</xdr:row>
      <xdr:rowOff>77230</xdr:rowOff>
    </xdr:from>
    <xdr:to>
      <xdr:col>6</xdr:col>
      <xdr:colOff>709282</xdr:colOff>
      <xdr:row>21</xdr:row>
      <xdr:rowOff>193074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5610" y="283176"/>
          <a:ext cx="6272490" cy="4234763"/>
        </a:xfrm>
        <a:prstGeom prst="rect">
          <a:avLst/>
        </a:prstGeom>
      </xdr:spPr>
    </xdr:pic>
    <xdr:clientData/>
  </xdr:twoCellAnchor>
  <xdr:twoCellAnchor editAs="oneCell">
    <xdr:from>
      <xdr:col>7</xdr:col>
      <xdr:colOff>923153</xdr:colOff>
      <xdr:row>0</xdr:row>
      <xdr:rowOff>166816</xdr:rowOff>
    </xdr:from>
    <xdr:to>
      <xdr:col>13</xdr:col>
      <xdr:colOff>120931</xdr:colOff>
      <xdr:row>17</xdr:row>
      <xdr:rowOff>31149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10528" y="166816"/>
          <a:ext cx="6903246" cy="3264758"/>
        </a:xfrm>
        <a:prstGeom prst="rect">
          <a:avLst/>
        </a:prstGeom>
      </xdr:spPr>
    </xdr:pic>
    <xdr:clientData/>
  </xdr:twoCellAnchor>
  <xdr:twoCellAnchor editAs="oneCell">
    <xdr:from>
      <xdr:col>0</xdr:col>
      <xdr:colOff>115846</xdr:colOff>
      <xdr:row>25</xdr:row>
      <xdr:rowOff>25743</xdr:rowOff>
    </xdr:from>
    <xdr:to>
      <xdr:col>0</xdr:col>
      <xdr:colOff>5616147</xdr:colOff>
      <xdr:row>48</xdr:row>
      <xdr:rowOff>147471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846" y="5174392"/>
          <a:ext cx="5496182" cy="4845613"/>
        </a:xfrm>
        <a:prstGeom prst="rect">
          <a:avLst/>
        </a:prstGeom>
      </xdr:spPr>
    </xdr:pic>
    <xdr:clientData/>
  </xdr:twoCellAnchor>
  <xdr:twoCellAnchor editAs="oneCell">
    <xdr:from>
      <xdr:col>1</xdr:col>
      <xdr:colOff>1222805</xdr:colOff>
      <xdr:row>24</xdr:row>
      <xdr:rowOff>133862</xdr:rowOff>
    </xdr:from>
    <xdr:to>
      <xdr:col>6</xdr:col>
      <xdr:colOff>899511</xdr:colOff>
      <xdr:row>46</xdr:row>
      <xdr:rowOff>127289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52636" y="5076565"/>
          <a:ext cx="6395693" cy="4511366"/>
        </a:xfrm>
        <a:prstGeom prst="rect">
          <a:avLst/>
        </a:prstGeom>
      </xdr:spPr>
    </xdr:pic>
    <xdr:clientData/>
  </xdr:twoCellAnchor>
  <xdr:twoCellAnchor editAs="oneCell">
    <xdr:from>
      <xdr:col>7</xdr:col>
      <xdr:colOff>916411</xdr:colOff>
      <xdr:row>19</xdr:row>
      <xdr:rowOff>115845</xdr:rowOff>
    </xdr:from>
    <xdr:to>
      <xdr:col>13</xdr:col>
      <xdr:colOff>571500</xdr:colOff>
      <xdr:row>44</xdr:row>
      <xdr:rowOff>57773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C000000}"/>
            </a:ext>
            <a:ext uri="{147F2762-F138-4A5C-976F-8EAC2B608ADB}">
              <a16:predDERef xmlns:a16="http://schemas.microsoft.com/office/drawing/2014/main" pre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7526" y="4028818"/>
          <a:ext cx="7372913" cy="5077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149376</xdr:rowOff>
    </xdr:from>
    <xdr:to>
      <xdr:col>1</xdr:col>
      <xdr:colOff>8495</xdr:colOff>
      <xdr:row>70</xdr:row>
      <xdr:rowOff>1309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227856"/>
          <a:ext cx="5805101" cy="4170877"/>
        </a:xfrm>
        <a:prstGeom prst="rect">
          <a:avLst/>
        </a:prstGeom>
      </xdr:spPr>
    </xdr:pic>
    <xdr:clientData/>
  </xdr:twoCellAnchor>
  <xdr:twoCellAnchor editAs="oneCell">
    <xdr:from>
      <xdr:col>1</xdr:col>
      <xdr:colOff>1227748</xdr:colOff>
      <xdr:row>49</xdr:row>
      <xdr:rowOff>102972</xdr:rowOff>
    </xdr:from>
    <xdr:to>
      <xdr:col>6</xdr:col>
      <xdr:colOff>138944</xdr:colOff>
      <xdr:row>68</xdr:row>
      <xdr:rowOff>167330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79BFA0-AE20-BB8D-5E41-341444F75F2F}"/>
            </a:ext>
            <a:ext uri="{147F2762-F138-4A5C-976F-8EAC2B608ADB}">
              <a16:predDERef xmlns:a16="http://schemas.microsoft.com/office/drawing/2014/main" pre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57579" y="10181452"/>
          <a:ext cx="5630183" cy="3977331"/>
        </a:xfrm>
        <a:prstGeom prst="rect">
          <a:avLst/>
        </a:prstGeom>
      </xdr:spPr>
    </xdr:pic>
    <xdr:clientData/>
  </xdr:twoCellAnchor>
  <xdr:twoCellAnchor editAs="oneCell">
    <xdr:from>
      <xdr:col>7</xdr:col>
      <xdr:colOff>257431</xdr:colOff>
      <xdr:row>48</xdr:row>
      <xdr:rowOff>177901</xdr:rowOff>
    </xdr:from>
    <xdr:to>
      <xdr:col>11</xdr:col>
      <xdr:colOff>176085</xdr:colOff>
      <xdr:row>69</xdr:row>
      <xdr:rowOff>135614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D000000}"/>
            </a:ext>
            <a:ext uri="{147F2762-F138-4A5C-976F-8EAC2B608ADB}">
              <a16:predDERef xmlns:a16="http://schemas.microsoft.com/office/drawing/2014/main" pre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678546" y="10050435"/>
          <a:ext cx="5367468" cy="4282578"/>
        </a:xfrm>
        <a:prstGeom prst="rect">
          <a:avLst/>
        </a:prstGeom>
      </xdr:spPr>
    </xdr:pic>
    <xdr:clientData/>
  </xdr:twoCellAnchor>
  <xdr:twoCellAnchor editAs="oneCell">
    <xdr:from>
      <xdr:col>17</xdr:col>
      <xdr:colOff>266266</xdr:colOff>
      <xdr:row>48</xdr:row>
      <xdr:rowOff>64357</xdr:rowOff>
    </xdr:from>
    <xdr:to>
      <xdr:col>27</xdr:col>
      <xdr:colOff>299262</xdr:colOff>
      <xdr:row>68</xdr:row>
      <xdr:rowOff>177842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97448" y="9936891"/>
          <a:ext cx="5953943" cy="42324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914400</xdr:colOff>
      <xdr:row>1021</xdr:row>
      <xdr:rowOff>104775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116F015-C715-4A63-8B13-CA7FD189A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44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1056</xdr:row>
      <xdr:rowOff>38100</xdr:rowOff>
    </xdr:from>
    <xdr:to>
      <xdr:col>0</xdr:col>
      <xdr:colOff>952500</xdr:colOff>
      <xdr:row>1059</xdr:row>
      <xdr:rowOff>0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F1BE6A66-F899-4077-870F-45794C36C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9144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6:N28"/>
  <sheetViews>
    <sheetView showGridLines="0" tabSelected="1" zoomScale="80" zoomScaleNormal="80" workbookViewId="0">
      <selection activeCell="K3" sqref="K3"/>
    </sheetView>
  </sheetViews>
  <sheetFormatPr defaultColWidth="8.85546875" defaultRowHeight="15" x14ac:dyDescent="0.25"/>
  <cols>
    <col min="2" max="2" width="27.42578125" customWidth="1"/>
  </cols>
  <sheetData>
    <row r="6" spans="1:14" x14ac:dyDescent="0.25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</row>
    <row r="7" spans="1:14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</row>
    <row r="8" spans="1:14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</row>
    <row r="9" spans="1:14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</row>
    <row r="10" spans="1:14" x14ac:dyDescent="0.25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</row>
    <row r="11" spans="1:14" x14ac:dyDescent="0.25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</row>
    <row r="12" spans="1:14" x14ac:dyDescent="0.25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</row>
    <row r="24" spans="2:8" ht="15.75" x14ac:dyDescent="0.25">
      <c r="B24" s="250" t="s">
        <v>0</v>
      </c>
    </row>
    <row r="25" spans="2:8" ht="20.25" x14ac:dyDescent="0.25">
      <c r="B25" s="253" t="s">
        <v>1</v>
      </c>
      <c r="F25" s="253" t="s">
        <v>2</v>
      </c>
    </row>
    <row r="26" spans="2:8" ht="20.25" x14ac:dyDescent="0.3">
      <c r="B26" s="253"/>
      <c r="C26" s="251"/>
      <c r="G26" s="254"/>
      <c r="H26" s="254"/>
    </row>
    <row r="27" spans="2:8" ht="15.75" x14ac:dyDescent="0.25">
      <c r="B27" s="252"/>
    </row>
    <row r="28" spans="2:8" ht="15.75" x14ac:dyDescent="0.25">
      <c r="B28" s="251"/>
    </row>
  </sheetData>
  <pageMargins left="0.7" right="0.7" top="0.75" bottom="0.75" header="0.3" footer="0.3"/>
  <pageSetup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  <pageSetUpPr fitToPage="1"/>
  </sheetPr>
  <dimension ref="A3:H23"/>
  <sheetViews>
    <sheetView showGridLines="0" tabSelected="1" view="pageLayout" topLeftCell="A7" zoomScale="60" zoomScaleNormal="80" zoomScalePageLayoutView="60" workbookViewId="0">
      <selection activeCell="K3" sqref="K3"/>
    </sheetView>
  </sheetViews>
  <sheetFormatPr defaultColWidth="8.85546875" defaultRowHeight="15" x14ac:dyDescent="0.25"/>
  <cols>
    <col min="1" max="1" width="53" bestFit="1" customWidth="1"/>
    <col min="2" max="2" width="22" bestFit="1" customWidth="1"/>
    <col min="3" max="3" width="25.7109375" bestFit="1" customWidth="1"/>
    <col min="4" max="4" width="18.85546875" bestFit="1" customWidth="1"/>
    <col min="5" max="5" width="13.42578125" bestFit="1" customWidth="1"/>
    <col min="6" max="6" width="15.42578125" bestFit="1" customWidth="1"/>
    <col min="7" max="7" width="27.42578125" bestFit="1" customWidth="1"/>
  </cols>
  <sheetData>
    <row r="3" spans="1:8" x14ac:dyDescent="0.25">
      <c r="A3" s="402" t="s">
        <v>3</v>
      </c>
      <c r="B3" s="402"/>
      <c r="C3" s="402"/>
      <c r="D3" s="402"/>
      <c r="E3" s="402"/>
      <c r="F3" s="402"/>
      <c r="G3" s="402"/>
      <c r="H3" s="402"/>
    </row>
    <row r="4" spans="1:8" x14ac:dyDescent="0.25">
      <c r="A4" s="402" t="s">
        <v>4</v>
      </c>
      <c r="B4" s="402"/>
      <c r="C4" s="402"/>
      <c r="D4" s="402"/>
      <c r="E4" s="402"/>
      <c r="F4" s="402"/>
      <c r="G4" s="402"/>
      <c r="H4" s="402"/>
    </row>
    <row r="5" spans="1:8" ht="15.75" x14ac:dyDescent="0.25">
      <c r="A5" s="126" t="s">
        <v>5</v>
      </c>
      <c r="B5" s="403"/>
      <c r="C5" s="101"/>
      <c r="D5" s="101"/>
      <c r="E5" s="101"/>
      <c r="F5" s="101"/>
      <c r="G5" s="101"/>
      <c r="H5" s="101"/>
    </row>
    <row r="6" spans="1:8" ht="16.5" thickBot="1" x14ac:dyDescent="0.3">
      <c r="A6" s="404" t="s">
        <v>6</v>
      </c>
      <c r="B6" s="405" t="s">
        <v>7</v>
      </c>
      <c r="C6" s="348"/>
      <c r="D6" s="348" t="s">
        <v>8</v>
      </c>
      <c r="E6" s="406" t="s">
        <v>9</v>
      </c>
      <c r="F6" s="407" t="s">
        <v>10</v>
      </c>
      <c r="G6" s="407" t="s">
        <v>11</v>
      </c>
      <c r="H6" s="408"/>
    </row>
    <row r="7" spans="1:8" ht="16.5" thickTop="1" x14ac:dyDescent="0.25">
      <c r="A7" s="409"/>
      <c r="B7" s="101"/>
      <c r="C7" s="101"/>
      <c r="D7" s="410"/>
      <c r="E7" s="101"/>
      <c r="F7" s="101"/>
      <c r="G7" s="411" t="s">
        <v>12</v>
      </c>
      <c r="H7" s="453"/>
    </row>
    <row r="8" spans="1:8" ht="15.75" x14ac:dyDescent="0.25">
      <c r="A8" s="409" t="s">
        <v>13</v>
      </c>
      <c r="B8" s="269">
        <v>0.5</v>
      </c>
      <c r="C8" s="101"/>
      <c r="D8" s="412">
        <v>389933.07578549313</v>
      </c>
      <c r="E8" s="403">
        <v>371795.9427854931</v>
      </c>
      <c r="F8" s="403">
        <v>87</v>
      </c>
      <c r="G8" s="126" t="s">
        <v>14</v>
      </c>
      <c r="H8" s="452" t="s">
        <v>15</v>
      </c>
    </row>
    <row r="9" spans="1:8" ht="15.75" x14ac:dyDescent="0.25">
      <c r="A9" s="409" t="s">
        <v>16</v>
      </c>
      <c r="B9" s="132">
        <v>0.25</v>
      </c>
      <c r="C9" s="101"/>
      <c r="D9" s="403">
        <v>666926.44449363463</v>
      </c>
      <c r="E9" s="413">
        <v>648789.3114936346</v>
      </c>
      <c r="F9" s="413">
        <v>152</v>
      </c>
      <c r="G9" s="410"/>
      <c r="H9" s="454"/>
    </row>
    <row r="10" spans="1:8" ht="16.5" thickBot="1" x14ac:dyDescent="0.3">
      <c r="A10" s="409" t="s">
        <v>17</v>
      </c>
      <c r="B10" s="269">
        <v>0.25</v>
      </c>
      <c r="C10" s="101"/>
      <c r="D10" s="403">
        <v>259453.30342746456</v>
      </c>
      <c r="E10" s="413">
        <v>241316.17042746456</v>
      </c>
      <c r="F10" s="413">
        <v>57</v>
      </c>
      <c r="G10" s="101"/>
      <c r="H10" s="455"/>
    </row>
    <row r="11" spans="1:8" ht="16.5" thickBot="1" x14ac:dyDescent="0.3">
      <c r="A11" s="414" t="s">
        <v>18</v>
      </c>
      <c r="B11" s="415"/>
      <c r="C11" s="416"/>
      <c r="D11" s="417">
        <f>SUMPRODUCT(D8:D10,$B$8:$B$10)</f>
        <v>426561.47487302136</v>
      </c>
      <c r="E11" s="417">
        <f t="shared" ref="E11:F11" si="0">SUMPRODUCT(E8:E10,$B$8:$B$10)</f>
        <v>408424.34187302139</v>
      </c>
      <c r="F11" s="417">
        <f t="shared" si="0"/>
        <v>95.75</v>
      </c>
      <c r="G11" s="416"/>
      <c r="H11" s="418"/>
    </row>
    <row r="12" spans="1:8" ht="15.75" x14ac:dyDescent="0.25">
      <c r="A12" s="126"/>
      <c r="B12" s="412"/>
      <c r="C12" s="126"/>
      <c r="D12" s="419"/>
      <c r="E12" s="419"/>
      <c r="F12" s="419"/>
      <c r="G12" s="126"/>
      <c r="H12" s="126"/>
    </row>
    <row r="13" spans="1:8" ht="16.5" thickBot="1" x14ac:dyDescent="0.3">
      <c r="A13" s="126" t="s">
        <v>19</v>
      </c>
      <c r="B13" s="101"/>
      <c r="C13" s="101"/>
      <c r="D13" s="101"/>
      <c r="E13" s="101"/>
      <c r="F13" s="101"/>
      <c r="G13" s="101"/>
      <c r="H13" s="101"/>
    </row>
    <row r="14" spans="1:8" ht="16.5" thickBot="1" x14ac:dyDescent="0.3">
      <c r="A14" s="420" t="s">
        <v>6</v>
      </c>
      <c r="B14" s="421" t="s">
        <v>20</v>
      </c>
      <c r="C14" s="421" t="s">
        <v>21</v>
      </c>
      <c r="D14" s="421" t="s">
        <v>22</v>
      </c>
      <c r="E14" s="101"/>
      <c r="F14" s="101"/>
      <c r="G14" s="101"/>
      <c r="H14" s="101"/>
    </row>
    <row r="15" spans="1:8" ht="16.5" thickTop="1" x14ac:dyDescent="0.25">
      <c r="A15" s="409" t="s">
        <v>13</v>
      </c>
      <c r="B15" s="422">
        <v>72.299851162605052</v>
      </c>
      <c r="C15" s="423">
        <v>43.227620685579645</v>
      </c>
      <c r="D15" s="424">
        <v>27.447314206978863</v>
      </c>
      <c r="E15" s="101"/>
      <c r="F15" s="101"/>
      <c r="G15" s="101"/>
      <c r="H15" s="101"/>
    </row>
    <row r="16" spans="1:8" ht="15.75" x14ac:dyDescent="0.25">
      <c r="A16" s="409" t="s">
        <v>16</v>
      </c>
      <c r="B16" s="412">
        <v>77.481581541279937</v>
      </c>
      <c r="C16" s="412">
        <v>46.540490130102938</v>
      </c>
      <c r="D16" s="425">
        <v>27.983654662082728</v>
      </c>
      <c r="E16" s="101"/>
      <c r="F16" s="101"/>
      <c r="G16" s="101"/>
      <c r="H16" s="101"/>
    </row>
    <row r="17" spans="1:8" ht="16.5" thickBot="1" x14ac:dyDescent="0.3">
      <c r="A17" s="409" t="s">
        <v>17</v>
      </c>
      <c r="B17" s="459">
        <v>67.45751975493441</v>
      </c>
      <c r="C17" s="460">
        <v>40.131741396539937</v>
      </c>
      <c r="D17" s="461">
        <v>26.910973751875005</v>
      </c>
      <c r="E17" s="101"/>
      <c r="F17" s="101"/>
      <c r="G17" s="101"/>
      <c r="H17" s="101"/>
    </row>
    <row r="18" spans="1:8" ht="16.5" thickBot="1" x14ac:dyDescent="0.3">
      <c r="A18" s="420" t="s">
        <v>18</v>
      </c>
      <c r="B18" s="426">
        <f>B15*$B8+B16*$B9+B17*$B10</f>
        <v>72.384700905356112</v>
      </c>
      <c r="C18" s="426">
        <f>C15*$B8+C16*$B9+C17*$B10</f>
        <v>43.281868224450548</v>
      </c>
      <c r="D18" s="426">
        <f t="shared" ref="D18" si="1">D15*$B8+D16*$B9+D17*$B10</f>
        <v>27.447314206978863</v>
      </c>
      <c r="E18" s="101"/>
      <c r="F18" s="101"/>
      <c r="G18" s="101"/>
      <c r="H18" s="101"/>
    </row>
    <row r="19" spans="1:8" ht="15.75" thickTop="1" x14ac:dyDescent="0.25">
      <c r="A19" s="410"/>
      <c r="B19" s="410"/>
      <c r="C19" s="410"/>
      <c r="D19" s="410"/>
      <c r="E19" s="410"/>
      <c r="F19" s="410"/>
      <c r="G19" s="410"/>
      <c r="H19" s="410"/>
    </row>
    <row r="20" spans="1:8" ht="15.75" x14ac:dyDescent="0.25">
      <c r="A20" s="133" t="s">
        <v>23</v>
      </c>
      <c r="B20" s="133"/>
      <c r="C20" s="133" t="str">
        <f>'Multiples Valuation'!F4</f>
        <v>Trading Multiple of Netflix</v>
      </c>
      <c r="D20" s="410"/>
      <c r="E20" s="410"/>
      <c r="F20" s="410"/>
      <c r="G20" s="410"/>
      <c r="H20" s="410"/>
    </row>
    <row r="21" spans="1:8" ht="15.75" x14ac:dyDescent="0.25">
      <c r="A21" s="427" t="s">
        <v>24</v>
      </c>
      <c r="B21" s="428">
        <f>'Multiples Valuation'!D5</f>
        <v>3.0377777777777779</v>
      </c>
      <c r="C21" s="429">
        <f>'Multiples Valuation'!F5</f>
        <v>9.39</v>
      </c>
      <c r="D21" s="410"/>
      <c r="E21" s="410"/>
      <c r="F21" s="410"/>
      <c r="G21" s="410"/>
      <c r="H21" s="410"/>
    </row>
    <row r="22" spans="1:8" ht="15.75" x14ac:dyDescent="0.25">
      <c r="A22" s="430" t="s">
        <v>25</v>
      </c>
      <c r="B22" s="431">
        <f>'Multiples Valuation'!D6</f>
        <v>16.385555555555555</v>
      </c>
      <c r="C22" s="432">
        <f>'Multiples Valuation'!F6</f>
        <v>28.14</v>
      </c>
      <c r="D22" s="410"/>
      <c r="E22" s="410"/>
      <c r="F22" s="410"/>
      <c r="G22" s="410"/>
      <c r="H22" s="410"/>
    </row>
    <row r="23" spans="1:8" ht="15.75" x14ac:dyDescent="0.25">
      <c r="A23" s="433" t="s">
        <v>26</v>
      </c>
      <c r="B23" s="434">
        <f>'Multiples Valuation'!D7</f>
        <v>34.172000000000004</v>
      </c>
      <c r="C23" s="435">
        <f>'Multiples Valuation'!F7</f>
        <v>32.590000000000003</v>
      </c>
      <c r="D23" s="410"/>
      <c r="E23" s="410"/>
      <c r="F23" s="410"/>
      <c r="G23" s="410"/>
      <c r="H23" s="410"/>
    </row>
  </sheetData>
  <pageMargins left="0.7" right="0.7" top="0.75" bottom="0.75" header="0.3" footer="0.3"/>
  <pageSetup scale="66" fitToHeight="0" orientation="landscape" r:id="rId1"/>
  <headerFooter>
    <oddHeader xml:space="preserve">&amp;CNetflix, Inc. | Financial Model Summary
</oddHeader>
    <oddFooter>&amp;LPrepared by: Tolulope Oluwabunmi
&amp;CFor Portfolio &amp; Educational Purposes Only
&amp;R&amp;D|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Z83"/>
  <sheetViews>
    <sheetView showGridLines="0" tabSelected="1" view="pageLayout" zoomScale="70" zoomScaleNormal="86" zoomScalePageLayoutView="70" workbookViewId="0">
      <selection activeCell="K3" sqref="K3"/>
    </sheetView>
  </sheetViews>
  <sheetFormatPr defaultColWidth="8.85546875" defaultRowHeight="15" x14ac:dyDescent="0.25"/>
  <cols>
    <col min="1" max="1" width="9.5703125" customWidth="1"/>
    <col min="17" max="17" width="10.85546875" bestFit="1" customWidth="1"/>
    <col min="18" max="18" width="12.140625" customWidth="1"/>
    <col min="19" max="19" width="12" customWidth="1"/>
    <col min="20" max="21" width="12.28515625" customWidth="1"/>
    <col min="22" max="22" width="14" customWidth="1"/>
    <col min="23" max="23" width="13" customWidth="1"/>
    <col min="24" max="24" width="14" customWidth="1"/>
  </cols>
  <sheetData>
    <row r="1" spans="1:25" x14ac:dyDescent="0.25">
      <c r="A1" s="270" t="s">
        <v>630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25" ht="19.5" customHeight="1" x14ac:dyDescent="0.25">
      <c r="A2" s="270" t="s">
        <v>631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4" spans="1:25" x14ac:dyDescent="0.25">
      <c r="B4" s="35" t="s">
        <v>632</v>
      </c>
      <c r="C4" s="36"/>
      <c r="D4" s="36"/>
      <c r="E4" s="36"/>
      <c r="F4" s="36"/>
      <c r="G4" s="36"/>
      <c r="H4" s="36"/>
      <c r="I4" s="36"/>
      <c r="L4" s="324" t="s">
        <v>633</v>
      </c>
      <c r="M4" s="324"/>
      <c r="N4" s="324"/>
      <c r="O4" s="324"/>
      <c r="P4" s="324"/>
      <c r="Q4" s="324"/>
      <c r="R4" s="279"/>
      <c r="S4" s="279"/>
      <c r="T4" s="279"/>
      <c r="U4" s="279"/>
      <c r="V4" s="325"/>
    </row>
    <row r="5" spans="1:25" x14ac:dyDescent="0.25">
      <c r="B5" s="3" t="s">
        <v>62</v>
      </c>
      <c r="C5" s="4" t="s">
        <v>634</v>
      </c>
      <c r="D5" s="5"/>
      <c r="E5" s="5"/>
      <c r="F5" s="5"/>
      <c r="G5" s="5"/>
      <c r="H5" s="5"/>
      <c r="I5" s="6">
        <v>2025</v>
      </c>
      <c r="L5" s="32" t="str">
        <f>'Data Source Table'!A106</f>
        <v>Land</v>
      </c>
      <c r="V5" s="34">
        <f>'Data Source Table'!O106</f>
        <v>2.4381893817813295E-3</v>
      </c>
    </row>
    <row r="6" spans="1:25" x14ac:dyDescent="0.25">
      <c r="B6" s="3" t="s">
        <v>62</v>
      </c>
      <c r="C6" s="5" t="str">
        <f>CONCATENATE("The model is a 5-year cash flow model discounted to Dec. 31, ",I5-1)</f>
        <v>The model is a 5-year cash flow model discounted to Dec. 31, 2024</v>
      </c>
      <c r="D6" s="5"/>
      <c r="E6" s="5"/>
      <c r="F6" s="5"/>
      <c r="G6" s="5"/>
      <c r="H6" s="5"/>
      <c r="I6" s="7"/>
      <c r="L6" s="32" t="str">
        <f>'Data Source Table'!A107</f>
        <v>Building</v>
      </c>
      <c r="V6" s="34">
        <f>'Data Source Table'!O107</f>
        <v>4.3491351266490529E-3</v>
      </c>
    </row>
    <row r="7" spans="1:25" ht="15.75" thickBot="1" x14ac:dyDescent="0.3">
      <c r="B7" s="8"/>
      <c r="C7" s="9"/>
      <c r="D7" s="9"/>
      <c r="E7" s="9"/>
      <c r="F7" s="9"/>
      <c r="G7" s="9"/>
      <c r="H7" s="9"/>
      <c r="I7" s="10"/>
      <c r="L7" s="32" t="str">
        <f>'Data Source Table'!A108</f>
        <v>Leasehold improvements</v>
      </c>
      <c r="V7" s="34">
        <f>'Data Source Table'!O108</f>
        <v>2.7981542819643414E-2</v>
      </c>
      <c r="Y7" t="s">
        <v>635</v>
      </c>
    </row>
    <row r="8" spans="1:25" x14ac:dyDescent="0.25">
      <c r="L8" s="32" t="str">
        <f>'Data Source Table'!A109</f>
        <v>Furniture and fixtures</v>
      </c>
      <c r="V8" s="34">
        <f>'Data Source Table'!O109</f>
        <v>4.3459584326858676E-3</v>
      </c>
    </row>
    <row r="9" spans="1:25" ht="15.75" thickBot="1" x14ac:dyDescent="0.3">
      <c r="B9" s="35" t="s">
        <v>636</v>
      </c>
      <c r="C9" s="36"/>
      <c r="D9" s="36"/>
      <c r="E9" s="36"/>
      <c r="F9" s="36"/>
      <c r="G9" s="36"/>
      <c r="H9" s="36"/>
      <c r="I9" s="36"/>
      <c r="L9" s="32" t="str">
        <f>'Data Source Table'!A110</f>
        <v>Information technology</v>
      </c>
      <c r="V9" s="34">
        <f>'Data Source Table'!O110</f>
        <v>1.2372115067949751E-2</v>
      </c>
    </row>
    <row r="10" spans="1:25" x14ac:dyDescent="0.25">
      <c r="B10" s="11"/>
      <c r="C10" s="12"/>
      <c r="D10" s="12"/>
      <c r="E10" s="12"/>
      <c r="F10" s="12"/>
      <c r="G10" s="12"/>
      <c r="H10" s="12"/>
      <c r="I10" s="13"/>
      <c r="L10" s="32" t="str">
        <f>'Data Source Table'!A111</f>
        <v>Corporate aircraft</v>
      </c>
      <c r="V10" s="34">
        <f>'Data Source Table'!O111</f>
        <v>3.4604452481415164E-3</v>
      </c>
    </row>
    <row r="11" spans="1:25" x14ac:dyDescent="0.25">
      <c r="B11" s="14" t="str">
        <f>'Data Source Table'!A82</f>
        <v>Total Streaming Revenue</v>
      </c>
      <c r="C11" s="5"/>
      <c r="D11" s="5"/>
      <c r="E11" s="5"/>
      <c r="F11" s="5"/>
      <c r="G11" s="5"/>
      <c r="H11" s="5"/>
      <c r="I11" s="15">
        <f>'Data Source Table'!O82</f>
        <v>0.14667350535212248</v>
      </c>
      <c r="L11" s="32" t="str">
        <f>'Data Source Table'!A112</f>
        <v>Machinery and Equipment</v>
      </c>
      <c r="V11" s="34">
        <f>'Data Source Table'!O112</f>
        <v>8.0405061414847226E-4</v>
      </c>
    </row>
    <row r="12" spans="1:25" x14ac:dyDescent="0.25">
      <c r="B12" s="14" t="s">
        <v>637</v>
      </c>
      <c r="C12" s="5"/>
      <c r="D12" s="5"/>
      <c r="E12" s="5"/>
      <c r="F12" s="5"/>
      <c r="G12" s="5"/>
      <c r="H12" s="5"/>
      <c r="I12" s="15">
        <f>'Data Source Table'!O83</f>
        <v>0</v>
      </c>
      <c r="L12" s="33" t="str">
        <f>'Data Source Table'!A113</f>
        <v>Capital work-in-progress</v>
      </c>
      <c r="M12" s="31"/>
      <c r="N12" s="31"/>
      <c r="O12" s="31"/>
      <c r="P12" s="31"/>
      <c r="Q12" s="31"/>
      <c r="R12" s="31"/>
      <c r="S12" s="31"/>
      <c r="T12" s="31"/>
      <c r="U12" s="31"/>
      <c r="V12" s="34">
        <f>'Data Source Table'!O113</f>
        <v>9.3612490371954068E-3</v>
      </c>
    </row>
    <row r="13" spans="1:25" ht="15.75" thickBot="1" x14ac:dyDescent="0.3">
      <c r="B13" s="16" t="s">
        <v>38</v>
      </c>
      <c r="C13" s="9"/>
      <c r="D13" s="9"/>
      <c r="E13" s="9"/>
      <c r="F13" s="9"/>
      <c r="G13" s="9"/>
      <c r="H13" s="9"/>
      <c r="I13" s="17">
        <f>'Data Source Table'!O86</f>
        <v>0.35071882072042965</v>
      </c>
    </row>
    <row r="14" spans="1:25" x14ac:dyDescent="0.25">
      <c r="L14" s="35" t="s">
        <v>638</v>
      </c>
      <c r="M14" s="36"/>
      <c r="N14" s="36"/>
      <c r="O14" s="36"/>
      <c r="P14" s="36"/>
      <c r="Q14" s="92"/>
    </row>
    <row r="15" spans="1:25" x14ac:dyDescent="0.25">
      <c r="B15" s="43" t="s">
        <v>639</v>
      </c>
      <c r="C15" s="44"/>
      <c r="D15" s="44"/>
      <c r="E15" s="44"/>
      <c r="F15" s="44"/>
      <c r="G15" s="44"/>
      <c r="H15" s="44"/>
      <c r="I15" s="45"/>
      <c r="L15" s="35" t="s">
        <v>640</v>
      </c>
      <c r="M15" s="36"/>
      <c r="N15" s="36"/>
      <c r="O15" s="36"/>
      <c r="P15" s="36" t="s">
        <v>641</v>
      </c>
      <c r="Q15" s="93"/>
    </row>
    <row r="16" spans="1:25" x14ac:dyDescent="0.25">
      <c r="B16" s="41"/>
      <c r="C16" s="5"/>
      <c r="D16" s="5"/>
      <c r="E16" s="5"/>
      <c r="F16" s="5"/>
      <c r="G16" s="5"/>
      <c r="H16" s="5"/>
      <c r="I16" s="42"/>
      <c r="L16" s="326" t="s">
        <v>642</v>
      </c>
      <c r="M16" s="280"/>
      <c r="N16" s="280"/>
      <c r="O16" s="280"/>
      <c r="P16" s="280"/>
      <c r="Q16" s="327" t="s">
        <v>643</v>
      </c>
    </row>
    <row r="17" spans="2:26" x14ac:dyDescent="0.25">
      <c r="B17" s="14" t="str">
        <f>'Data Source Table'!A89</f>
        <v>Paid net membership additions</v>
      </c>
      <c r="C17" s="5"/>
      <c r="D17" s="5"/>
      <c r="E17" s="5"/>
      <c r="F17" s="5"/>
      <c r="G17" s="5"/>
      <c r="H17" s="5"/>
      <c r="I17" s="15">
        <f>'Data Source Table'!O89</f>
        <v>0.40359561083490425</v>
      </c>
      <c r="L17" s="328" t="str">
        <f>'Data Source Table'!A106</f>
        <v>Land</v>
      </c>
      <c r="M17" s="280"/>
      <c r="N17" s="280"/>
      <c r="O17" s="280"/>
      <c r="P17" s="280"/>
      <c r="Q17" s="329" t="s">
        <v>644</v>
      </c>
    </row>
    <row r="18" spans="2:26" x14ac:dyDescent="0.25">
      <c r="B18" s="14" t="str">
        <f>'Data Source Table'!A90</f>
        <v>Paid memberships at end of period</v>
      </c>
      <c r="C18" s="5"/>
      <c r="D18" s="5"/>
      <c r="E18" s="5"/>
      <c r="F18" s="5"/>
      <c r="G18" s="5"/>
      <c r="H18" s="5"/>
      <c r="I18" s="15">
        <f>'Data Source Table'!O90</f>
        <v>0.12702500131308972</v>
      </c>
      <c r="L18" s="94" t="str">
        <f>'Data Source Table'!A107</f>
        <v>Building</v>
      </c>
      <c r="M18" s="5"/>
      <c r="N18" s="5"/>
      <c r="O18" s="5"/>
      <c r="P18" s="5"/>
      <c r="Q18" s="95">
        <v>30</v>
      </c>
    </row>
    <row r="19" spans="2:26" x14ac:dyDescent="0.25">
      <c r="B19" s="14" t="str">
        <f>'Data Source Table'!A91</f>
        <v>Average paying memberships</v>
      </c>
      <c r="C19" s="5"/>
      <c r="D19" s="5"/>
      <c r="E19" s="5"/>
      <c r="F19" s="5"/>
      <c r="G19" s="5"/>
      <c r="H19" s="5"/>
      <c r="I19" s="15">
        <f>'Data Source Table'!O91</f>
        <v>0.12837114488899898</v>
      </c>
      <c r="L19" s="94" t="str">
        <f>'Data Source Table'!A108</f>
        <v>Leasehold improvements</v>
      </c>
      <c r="M19" s="5"/>
      <c r="N19" s="5"/>
      <c r="O19" s="5"/>
      <c r="P19" s="5"/>
      <c r="Q19" s="95">
        <v>15</v>
      </c>
    </row>
    <row r="20" spans="2:26" x14ac:dyDescent="0.25">
      <c r="B20" s="14" t="str">
        <f>'Data Source Table'!A92</f>
        <v>Average monthly revenue per paying membership</v>
      </c>
      <c r="C20" s="5"/>
      <c r="D20" s="5"/>
      <c r="E20" s="5"/>
      <c r="F20" s="5"/>
      <c r="G20" s="5"/>
      <c r="H20" s="5"/>
      <c r="I20" s="15">
        <f>'Data Source Table'!O92</f>
        <v>1.6128286231877346E-2</v>
      </c>
      <c r="L20" s="94" t="str">
        <f>'Data Source Table'!A109</f>
        <v>Furniture and fixtures</v>
      </c>
      <c r="M20" s="5"/>
      <c r="N20" s="5"/>
      <c r="O20" s="5"/>
      <c r="P20" s="5"/>
      <c r="Q20" s="95">
        <v>5</v>
      </c>
    </row>
    <row r="21" spans="2:26" ht="15.75" thickBot="1" x14ac:dyDescent="0.3">
      <c r="B21" s="16"/>
      <c r="C21" s="9"/>
      <c r="D21" s="9"/>
      <c r="E21" s="9"/>
      <c r="F21" s="9"/>
      <c r="G21" s="9"/>
      <c r="H21" s="9"/>
      <c r="I21" s="17"/>
      <c r="L21" s="94" t="str">
        <f>'Data Source Table'!A110</f>
        <v>Information technology</v>
      </c>
      <c r="M21" s="5"/>
      <c r="N21" s="5"/>
      <c r="O21" s="5"/>
      <c r="P21" s="5"/>
      <c r="Q21" s="95">
        <v>5</v>
      </c>
    </row>
    <row r="22" spans="2:26" x14ac:dyDescent="0.25">
      <c r="L22" s="94" t="str">
        <f>'Data Source Table'!A111</f>
        <v>Corporate aircraft</v>
      </c>
      <c r="M22" s="5"/>
      <c r="N22" s="5"/>
      <c r="O22" s="5"/>
      <c r="P22" s="5"/>
      <c r="Q22" s="95">
        <v>10</v>
      </c>
    </row>
    <row r="23" spans="2:26" ht="15.75" thickBot="1" x14ac:dyDescent="0.3">
      <c r="B23" s="37" t="s">
        <v>645</v>
      </c>
      <c r="C23" s="36"/>
      <c r="D23" s="36"/>
      <c r="E23" s="36"/>
      <c r="F23" s="36"/>
      <c r="G23" s="36"/>
      <c r="H23" s="36"/>
      <c r="I23" s="36"/>
      <c r="L23" s="94" t="str">
        <f>'Data Source Table'!A112</f>
        <v>Machinery and Equipment</v>
      </c>
      <c r="M23" s="30"/>
      <c r="N23" s="30"/>
      <c r="O23" s="30"/>
      <c r="P23" s="30"/>
      <c r="Q23" s="95">
        <v>5</v>
      </c>
    </row>
    <row r="24" spans="2:26" x14ac:dyDescent="0.25">
      <c r="B24" s="11"/>
      <c r="C24" s="12"/>
      <c r="D24" s="12"/>
      <c r="E24" s="12"/>
      <c r="F24" s="12"/>
      <c r="G24" s="12"/>
      <c r="H24" s="12"/>
      <c r="I24" s="18"/>
      <c r="L24" s="96" t="str">
        <f>'Data Source Table'!A113</f>
        <v>Capital work-in-progress</v>
      </c>
      <c r="M24" s="26"/>
      <c r="N24" s="26"/>
      <c r="O24" s="26"/>
      <c r="P24" s="26"/>
      <c r="Q24" s="97" t="s">
        <v>644</v>
      </c>
    </row>
    <row r="25" spans="2:26" x14ac:dyDescent="0.25">
      <c r="B25" s="14" t="str">
        <f>'Data Source Table'!A92</f>
        <v>Average monthly revenue per paying membership</v>
      </c>
      <c r="C25" s="19"/>
      <c r="D25" s="5"/>
      <c r="E25" s="5"/>
      <c r="F25" s="5"/>
      <c r="G25" s="5"/>
      <c r="H25" s="5"/>
      <c r="I25" s="15">
        <f>'Data Source Table'!O92</f>
        <v>1.6128286231877346E-2</v>
      </c>
    </row>
    <row r="26" spans="2:26" ht="15.75" thickBot="1" x14ac:dyDescent="0.3">
      <c r="B26" s="16"/>
      <c r="C26" s="9"/>
      <c r="D26" s="9"/>
      <c r="E26" s="9"/>
      <c r="F26" s="9"/>
      <c r="G26" s="9"/>
      <c r="H26" s="9"/>
      <c r="I26" s="17"/>
    </row>
    <row r="27" spans="2:26" ht="15.75" thickBot="1" x14ac:dyDescent="0.3">
      <c r="L27" s="57" t="s">
        <v>646</v>
      </c>
      <c r="M27" s="58"/>
      <c r="N27" s="58"/>
      <c r="O27" s="58"/>
      <c r="P27" s="58"/>
      <c r="Q27" s="59"/>
    </row>
    <row r="28" spans="2:26" x14ac:dyDescent="0.25">
      <c r="B28" s="330" t="str">
        <f>'Data Source Table'!A286</f>
        <v>Interest and Invest. Income</v>
      </c>
      <c r="C28" s="331"/>
      <c r="D28" s="331"/>
      <c r="E28" s="331"/>
      <c r="F28" s="331"/>
      <c r="G28" s="331"/>
      <c r="H28" s="331"/>
      <c r="I28" s="332">
        <f>'Data Source Table'!P286</f>
        <v>1.7543145139150085</v>
      </c>
      <c r="L28" s="46" t="s">
        <v>647</v>
      </c>
      <c r="M28" s="47"/>
      <c r="N28" s="48"/>
      <c r="O28" s="48"/>
      <c r="P28" s="48"/>
      <c r="Q28" s="273">
        <f>'Data Source Table'!I142</f>
        <v>14592.733333333332</v>
      </c>
    </row>
    <row r="29" spans="2:26" ht="15.75" x14ac:dyDescent="0.25">
      <c r="B29" s="333" t="str">
        <f>'Data Source Table'!A289</f>
        <v>Currency Exchange Gains (Loss)</v>
      </c>
      <c r="C29" s="281"/>
      <c r="D29" s="281"/>
      <c r="E29" s="281"/>
      <c r="F29" s="281"/>
      <c r="G29" s="281"/>
      <c r="H29" s="281"/>
      <c r="I29" s="334">
        <v>-0.1</v>
      </c>
      <c r="L29" s="49" t="s">
        <v>648</v>
      </c>
      <c r="M29" s="21"/>
      <c r="N29" s="21"/>
      <c r="O29" s="21"/>
      <c r="P29" s="21"/>
      <c r="Q29" s="274">
        <f>'Data Source Table'!I143</f>
        <v>2004.95</v>
      </c>
    </row>
    <row r="30" spans="2:26" x14ac:dyDescent="0.25">
      <c r="B30" s="335" t="s">
        <v>649</v>
      </c>
      <c r="C30" s="282"/>
      <c r="D30" s="282"/>
      <c r="E30" s="282"/>
      <c r="F30" s="282"/>
      <c r="G30" s="282"/>
      <c r="H30" s="282"/>
      <c r="I30" s="336"/>
      <c r="L30" s="50" t="s">
        <v>650</v>
      </c>
      <c r="M30" s="56"/>
      <c r="N30" s="5"/>
      <c r="O30" s="5"/>
      <c r="P30" s="5"/>
      <c r="Q30" s="275">
        <v>0.05</v>
      </c>
      <c r="R30" s="476"/>
      <c r="S30" s="476"/>
      <c r="T30" s="476"/>
      <c r="U30" s="476"/>
      <c r="V30" s="476"/>
      <c r="W30" s="476"/>
      <c r="X30" s="476"/>
      <c r="Y30" s="476"/>
      <c r="Z30" s="476"/>
    </row>
    <row r="31" spans="2:26" x14ac:dyDescent="0.25">
      <c r="B31" s="20" t="str">
        <f>'Data Source Table'!A97</f>
        <v>Sales and Marketing</v>
      </c>
      <c r="C31" s="21"/>
      <c r="D31" s="21"/>
      <c r="E31" s="21"/>
      <c r="F31" s="21"/>
      <c r="G31" s="21"/>
      <c r="H31" s="21"/>
      <c r="I31" s="22">
        <f>'Data Source Table'!O97</f>
        <v>2.4910760719272177E-2</v>
      </c>
      <c r="L31" s="50" t="s">
        <v>651</v>
      </c>
      <c r="M31" s="56"/>
      <c r="N31" s="5"/>
      <c r="O31" s="5"/>
      <c r="P31" s="5"/>
      <c r="Q31" s="276">
        <f>'Capital Structure'!F19</f>
        <v>4.5416581074180805E-2</v>
      </c>
    </row>
    <row r="32" spans="2:26" ht="15.75" thickBot="1" x14ac:dyDescent="0.3">
      <c r="B32" s="20" t="str">
        <f>'Data Source Table'!A98</f>
        <v>Technology and development</v>
      </c>
      <c r="C32" s="21"/>
      <c r="D32" s="21"/>
      <c r="E32" s="21"/>
      <c r="F32" s="21"/>
      <c r="G32" s="21"/>
      <c r="H32" s="21"/>
      <c r="I32" s="22">
        <f>'Data Source Table'!O98</f>
        <v>0.13988385509409934</v>
      </c>
      <c r="L32" s="51" t="s">
        <v>652</v>
      </c>
      <c r="M32" s="52"/>
      <c r="N32" s="52"/>
      <c r="O32" s="52"/>
      <c r="P32" s="52"/>
      <c r="Q32" s="277">
        <v>0</v>
      </c>
    </row>
    <row r="33" spans="2:22" ht="15.75" thickBot="1" x14ac:dyDescent="0.3">
      <c r="B33" s="20" t="str">
        <f>'Data Source Table'!A100</f>
        <v>Interest Expense</v>
      </c>
      <c r="C33" s="21"/>
      <c r="D33" s="21"/>
      <c r="E33" s="21"/>
      <c r="F33" s="21"/>
      <c r="G33" s="21"/>
      <c r="H33" s="21"/>
      <c r="I33" s="22">
        <f>'Data Source Table'!O100</f>
        <v>3.2784592218339514E-2</v>
      </c>
      <c r="L33" s="21"/>
      <c r="M33" s="21"/>
      <c r="N33" s="21"/>
      <c r="O33" s="21"/>
      <c r="P33" s="21"/>
      <c r="Q33" s="21"/>
    </row>
    <row r="34" spans="2:22" ht="15.75" thickBot="1" x14ac:dyDescent="0.3">
      <c r="B34" s="20" t="str">
        <f>'Data Source Table'!A99</f>
        <v>General and administrative</v>
      </c>
      <c r="C34" s="21"/>
      <c r="D34" s="21"/>
      <c r="E34" s="21"/>
      <c r="F34" s="21"/>
      <c r="G34" s="21"/>
      <c r="H34" s="21"/>
      <c r="I34" s="22">
        <f>'Data Source Table'!O99</f>
        <v>0.13593905480497098</v>
      </c>
      <c r="L34" s="53" t="s">
        <v>653</v>
      </c>
      <c r="M34" s="54"/>
      <c r="N34" s="54"/>
      <c r="O34" s="54"/>
      <c r="P34" s="54"/>
      <c r="Q34" s="55">
        <v>0.25</v>
      </c>
    </row>
    <row r="35" spans="2:22" ht="15.75" thickBot="1" x14ac:dyDescent="0.3">
      <c r="B35" s="23" t="str">
        <f>'Data Source Table'!A94</f>
        <v>Cost of Revenues</v>
      </c>
      <c r="C35" s="24"/>
      <c r="D35" s="24"/>
      <c r="E35" s="24"/>
      <c r="F35" s="24"/>
      <c r="G35" s="24"/>
      <c r="H35" s="24"/>
      <c r="I35" s="25">
        <f>'Data Source Table'!O94</f>
        <v>0.11282902776553043</v>
      </c>
      <c r="L35" s="53" t="s">
        <v>654</v>
      </c>
      <c r="M35" s="54"/>
      <c r="N35" s="54"/>
      <c r="O35" s="54"/>
      <c r="P35" s="54"/>
      <c r="Q35" s="55">
        <v>0</v>
      </c>
    </row>
    <row r="37" spans="2:22" x14ac:dyDescent="0.25">
      <c r="B37" s="335" t="s">
        <v>655</v>
      </c>
      <c r="C37" s="283"/>
      <c r="D37" s="283"/>
      <c r="E37" s="283"/>
      <c r="F37" s="283"/>
      <c r="G37" s="283"/>
      <c r="H37" s="283"/>
      <c r="I37" s="336"/>
    </row>
    <row r="38" spans="2:22" x14ac:dyDescent="0.25">
      <c r="B38" s="38" t="s">
        <v>656</v>
      </c>
      <c r="C38" s="39"/>
      <c r="D38" s="39"/>
      <c r="E38" s="39"/>
      <c r="F38" s="39"/>
      <c r="G38" s="39"/>
      <c r="H38" s="39"/>
      <c r="I38" s="40"/>
      <c r="L38" s="337" t="s">
        <v>657</v>
      </c>
      <c r="M38" s="338"/>
      <c r="N38" s="338"/>
      <c r="O38" s="338"/>
      <c r="P38" s="338"/>
      <c r="Q38" s="338"/>
      <c r="R38" s="339"/>
      <c r="S38" s="339"/>
      <c r="T38" s="339"/>
      <c r="U38" s="339"/>
      <c r="V38" s="340"/>
    </row>
    <row r="39" spans="2:22" x14ac:dyDescent="0.25">
      <c r="B39" s="28" t="str">
        <f>'Data Source Table'!A118</f>
        <v>Accounts Receivable</v>
      </c>
      <c r="C39" s="5"/>
      <c r="D39" s="5"/>
      <c r="E39" s="5"/>
      <c r="F39" s="5"/>
      <c r="G39" s="5"/>
      <c r="H39" s="5"/>
      <c r="I39" s="22">
        <f>'Data Source Table'!O118</f>
        <v>3.104032960331134E-2</v>
      </c>
      <c r="L39" s="341"/>
      <c r="M39" s="284"/>
      <c r="N39" s="284"/>
      <c r="O39" s="284"/>
      <c r="P39" s="284"/>
      <c r="Q39" s="285">
        <v>2024</v>
      </c>
      <c r="R39" s="285">
        <f>Q39+1</f>
        <v>2025</v>
      </c>
      <c r="S39" s="285">
        <f>R39+1</f>
        <v>2026</v>
      </c>
      <c r="T39" s="285">
        <f>S39+1</f>
        <v>2027</v>
      </c>
      <c r="U39" s="285" t="s">
        <v>658</v>
      </c>
      <c r="V39" s="342"/>
    </row>
    <row r="40" spans="2:22" x14ac:dyDescent="0.25">
      <c r="B40" s="28" t="str">
        <f>'Data Source Table'!A119</f>
        <v>Other Receivables</v>
      </c>
      <c r="C40" s="5"/>
      <c r="D40" s="5"/>
      <c r="E40" s="5"/>
      <c r="F40" s="5"/>
      <c r="G40" s="5"/>
      <c r="H40" s="5"/>
      <c r="I40" s="22">
        <f>'Data Source Table'!O119</f>
        <v>1.7371794507552305E-2</v>
      </c>
      <c r="L40" s="20" t="s">
        <v>659</v>
      </c>
      <c r="M40" s="60"/>
      <c r="N40" s="60"/>
      <c r="O40" s="60"/>
      <c r="P40" s="60"/>
      <c r="Q40" s="66" cm="1">
        <f t="array" ref="Q40:V40">TRANSPOSE('Data Source Table'!B148:B153)</f>
        <v>1953.2</v>
      </c>
      <c r="R40" s="66" t="str">
        <v>-</v>
      </c>
      <c r="S40" s="66" t="str">
        <v>-</v>
      </c>
      <c r="T40" s="66" t="str">
        <v>-</v>
      </c>
      <c r="U40" s="70">
        <v>1953.2</v>
      </c>
      <c r="V40">
        <v>13629.6</v>
      </c>
    </row>
    <row r="41" spans="2:22" x14ac:dyDescent="0.25">
      <c r="B41" s="28" t="str">
        <f>'Data Source Table'!A120</f>
        <v>Prepaid Exp.</v>
      </c>
      <c r="C41" s="5"/>
      <c r="D41" s="5"/>
      <c r="E41" s="5"/>
      <c r="F41" s="5"/>
      <c r="G41" s="5"/>
      <c r="H41" s="5"/>
      <c r="I41" s="22">
        <f>'Data Source Table'!O120</f>
        <v>1.0928953232270567E-2</v>
      </c>
      <c r="L41" s="62" t="s">
        <v>660</v>
      </c>
      <c r="M41" s="60"/>
      <c r="N41" s="60"/>
      <c r="O41" s="60"/>
      <c r="P41" s="60"/>
      <c r="Q41" s="69"/>
      <c r="R41" s="67"/>
      <c r="S41" s="67"/>
      <c r="T41" s="67"/>
      <c r="U41" s="70"/>
      <c r="V41" s="61"/>
    </row>
    <row r="42" spans="2:22" x14ac:dyDescent="0.25">
      <c r="B42" s="28" t="str">
        <f>'Data Source Table'!A121</f>
        <v>Other Current Assets</v>
      </c>
      <c r="C42" s="5"/>
      <c r="D42" s="5"/>
      <c r="E42" s="5"/>
      <c r="F42" s="5"/>
      <c r="G42" s="5"/>
      <c r="H42" s="5"/>
      <c r="I42" s="22">
        <f>'Data Source Table'!O121</f>
        <v>2.8582494272895775E-2</v>
      </c>
      <c r="L42" s="23" t="s">
        <v>661</v>
      </c>
      <c r="M42" s="63"/>
      <c r="N42" s="63"/>
      <c r="O42" s="63"/>
      <c r="P42" s="63"/>
      <c r="Q42" s="68" cm="1">
        <f t="array" ref="Q42:V42">TRANSPOSE('Data Source Table'!B165:B170)</f>
        <v>11424.7</v>
      </c>
      <c r="R42" s="68" t="str">
        <v>-</v>
      </c>
      <c r="S42" s="68" t="str">
        <v>-</v>
      </c>
      <c r="T42" s="68" t="str">
        <v>-</v>
      </c>
      <c r="U42" s="71">
        <v>11424.7</v>
      </c>
      <c r="V42" s="65">
        <v>11824.2</v>
      </c>
    </row>
    <row r="43" spans="2:22" x14ac:dyDescent="0.25">
      <c r="B43" s="28"/>
      <c r="C43" s="5"/>
      <c r="D43" s="5"/>
      <c r="E43" s="5"/>
      <c r="F43" s="5"/>
      <c r="G43" s="5"/>
      <c r="H43" s="5"/>
      <c r="I43" s="22"/>
    </row>
    <row r="44" spans="2:22" x14ac:dyDescent="0.25">
      <c r="B44" s="28" t="str">
        <f>'Data Source Table'!A123</f>
        <v>Accounts Payable</v>
      </c>
      <c r="C44" s="5"/>
      <c r="D44" s="5"/>
      <c r="E44" s="5"/>
      <c r="F44" s="5"/>
      <c r="G44" s="5"/>
      <c r="H44" s="5"/>
      <c r="I44" s="22">
        <f>'Data Source Table'!O123</f>
        <v>2.4185779588525531E-2</v>
      </c>
    </row>
    <row r="45" spans="2:22" x14ac:dyDescent="0.25">
      <c r="B45" s="28" t="str">
        <f>'Data Source Table'!A124</f>
        <v>Accrued Exp.</v>
      </c>
      <c r="C45" s="5"/>
      <c r="D45" s="5"/>
      <c r="E45" s="5"/>
      <c r="F45" s="5"/>
      <c r="G45" s="5"/>
      <c r="H45" s="5"/>
      <c r="I45" s="22">
        <f>'Data Source Table'!O124</f>
        <v>3.6563122781592489E-2</v>
      </c>
      <c r="L45" s="337" t="s">
        <v>662</v>
      </c>
      <c r="M45" s="338"/>
      <c r="N45" s="338"/>
      <c r="O45" s="338"/>
      <c r="P45" s="338"/>
      <c r="Q45" s="338"/>
      <c r="R45" s="339"/>
      <c r="S45" s="339"/>
      <c r="T45" s="339"/>
      <c r="U45" s="339"/>
      <c r="V45" s="339"/>
    </row>
    <row r="46" spans="2:22" x14ac:dyDescent="0.25">
      <c r="B46" s="28" t="str">
        <f>'Data Source Table'!A125</f>
        <v>Curr. Port. of LT Debt</v>
      </c>
      <c r="C46" s="5"/>
      <c r="D46" s="5"/>
      <c r="E46" s="5"/>
      <c r="F46" s="5"/>
      <c r="G46" s="5"/>
      <c r="H46" s="5"/>
      <c r="I46" s="22">
        <f>'Data Source Table'!O125</f>
        <v>2.529343449454027E-2</v>
      </c>
      <c r="L46" s="341"/>
      <c r="M46" s="284"/>
      <c r="N46" s="284"/>
      <c r="O46" s="284"/>
      <c r="P46" s="284"/>
      <c r="Q46" s="285">
        <v>2025</v>
      </c>
      <c r="R46" s="285">
        <f>Q46+1</f>
        <v>2026</v>
      </c>
      <c r="S46" s="285">
        <f>R46+1</f>
        <v>2027</v>
      </c>
      <c r="T46" s="285">
        <f>S46+1</f>
        <v>2028</v>
      </c>
      <c r="U46" s="285">
        <f>T46+1</f>
        <v>2029</v>
      </c>
      <c r="V46" s="285" t="s">
        <v>75</v>
      </c>
    </row>
    <row r="47" spans="2:22" x14ac:dyDescent="0.25">
      <c r="B47" s="28" t="str">
        <f>'Data Source Table'!A126</f>
        <v>Curr. Port. of Leases</v>
      </c>
      <c r="C47" s="5"/>
      <c r="D47" s="5"/>
      <c r="E47" s="5"/>
      <c r="F47" s="5"/>
      <c r="G47" s="5"/>
      <c r="H47" s="5"/>
      <c r="I47" s="22">
        <f>'Data Source Table'!O126</f>
        <v>1.0895280195362102E-2</v>
      </c>
      <c r="L47" s="20" t="s">
        <v>663</v>
      </c>
      <c r="M47" s="60"/>
      <c r="N47" s="60"/>
      <c r="O47" s="60"/>
      <c r="P47" s="60"/>
      <c r="Q47" s="66">
        <f>'Data Source Table'!B137</f>
        <v>505201</v>
      </c>
      <c r="R47" s="66">
        <f>'Data Source Table'!C137</f>
        <v>477256</v>
      </c>
      <c r="S47" s="66">
        <f>'Data Source Table'!D137</f>
        <v>415983</v>
      </c>
      <c r="T47" s="66">
        <f>'Data Source Table'!E137</f>
        <v>345912</v>
      </c>
      <c r="U47" s="66">
        <f>'Data Source Table'!F137</f>
        <v>276109</v>
      </c>
      <c r="V47" s="66">
        <f>'Data Source Table'!G137</f>
        <v>696367</v>
      </c>
    </row>
    <row r="48" spans="2:22" x14ac:dyDescent="0.25">
      <c r="B48" s="28" t="str">
        <f>'Data Source Table'!A127</f>
        <v>Unearned Revenue, Current</v>
      </c>
      <c r="C48" s="5"/>
      <c r="D48" s="5"/>
      <c r="E48" s="5"/>
      <c r="F48" s="5"/>
      <c r="G48" s="5"/>
      <c r="H48" s="5"/>
      <c r="I48" s="22">
        <f>'Data Source Table'!O127</f>
        <v>4.1446593492111342E-2</v>
      </c>
      <c r="L48" s="23"/>
      <c r="M48" s="63"/>
      <c r="N48" s="63"/>
      <c r="O48" s="63"/>
      <c r="P48" s="63"/>
      <c r="Q48" s="64"/>
      <c r="R48" s="64"/>
      <c r="S48" s="64"/>
      <c r="T48" s="26"/>
      <c r="U48" s="26"/>
      <c r="V48" s="65"/>
    </row>
    <row r="49" spans="2:20" ht="15.75" thickBot="1" x14ac:dyDescent="0.3">
      <c r="B49" s="28" t="str">
        <f>'Data Source Table'!A128</f>
        <v>Other Current Liabilities</v>
      </c>
      <c r="C49" s="5"/>
      <c r="D49" s="5"/>
      <c r="E49" s="5"/>
      <c r="F49" s="5"/>
      <c r="G49" s="5"/>
      <c r="H49" s="5"/>
      <c r="I49" s="22">
        <f>'Data Source Table'!O128</f>
        <v>0.14417596922789824</v>
      </c>
    </row>
    <row r="50" spans="2:20" ht="15.75" x14ac:dyDescent="0.25">
      <c r="B50" s="29" t="str">
        <f>'Data Source Table'!A130</f>
        <v xml:space="preserve">  Total Cash &amp; ST Investments</v>
      </c>
      <c r="C50" s="26"/>
      <c r="D50" s="26"/>
      <c r="E50" s="26"/>
      <c r="F50" s="26"/>
      <c r="G50" s="26"/>
      <c r="H50" s="26"/>
      <c r="I50" s="25">
        <f>'Data Source Table'!O130</f>
        <v>0.23605354932073155</v>
      </c>
      <c r="M50" s="89" t="s">
        <v>664</v>
      </c>
      <c r="N50" s="90"/>
      <c r="O50" s="90"/>
      <c r="P50" s="90"/>
      <c r="Q50" s="91"/>
    </row>
    <row r="51" spans="2:20" ht="15.75" x14ac:dyDescent="0.25">
      <c r="B51" s="27" t="s">
        <v>665</v>
      </c>
      <c r="C51" s="21"/>
      <c r="D51" s="21"/>
      <c r="E51" s="21"/>
      <c r="F51" s="21"/>
      <c r="G51" s="21"/>
      <c r="H51" s="21"/>
      <c r="I51" s="21"/>
      <c r="M51" s="72" t="s">
        <v>666</v>
      </c>
      <c r="N51" s="73"/>
      <c r="O51" s="73"/>
      <c r="P51" s="73"/>
      <c r="Q51" s="350">
        <f>'Capital Structure'!G23</f>
        <v>1.8444864768138947</v>
      </c>
    </row>
    <row r="52" spans="2:20" ht="15.75" x14ac:dyDescent="0.25">
      <c r="M52" s="72" t="s">
        <v>667</v>
      </c>
      <c r="N52" s="75"/>
      <c r="O52" s="75"/>
      <c r="P52" s="75"/>
      <c r="Q52" s="239">
        <f>'Capital Structure'!I23</f>
        <v>5.2499999999999998E-2</v>
      </c>
    </row>
    <row r="53" spans="2:20" ht="15.75" x14ac:dyDescent="0.25">
      <c r="M53" s="72" t="s">
        <v>668</v>
      </c>
      <c r="N53" s="77"/>
      <c r="O53" s="77"/>
      <c r="P53" s="77"/>
      <c r="Q53" s="239">
        <f>'Capital Structure'!H23</f>
        <v>4.7500000000000001E-2</v>
      </c>
    </row>
    <row r="54" spans="2:20" ht="15.75" x14ac:dyDescent="0.25">
      <c r="B54" s="343" t="s">
        <v>669</v>
      </c>
      <c r="C54" s="286"/>
      <c r="D54" s="286"/>
      <c r="E54" s="286"/>
      <c r="F54" s="286"/>
      <c r="G54" s="286"/>
      <c r="H54" s="286"/>
      <c r="I54" s="344"/>
      <c r="M54" s="72" t="s">
        <v>670</v>
      </c>
      <c r="N54" s="78"/>
      <c r="O54" s="78"/>
      <c r="P54" s="78"/>
      <c r="Q54" s="239">
        <f>'Capital Structure'!J23</f>
        <v>0.14433554003272947</v>
      </c>
    </row>
    <row r="55" spans="2:20" ht="16.5" thickBot="1" x14ac:dyDescent="0.3">
      <c r="B55" s="111" t="s">
        <v>671</v>
      </c>
      <c r="C55" s="104"/>
      <c r="D55" s="104"/>
      <c r="E55" s="104"/>
      <c r="F55" s="104"/>
      <c r="G55" s="104"/>
      <c r="H55" s="104"/>
      <c r="I55" s="112"/>
      <c r="M55" s="82" t="s">
        <v>672</v>
      </c>
      <c r="N55" s="83"/>
      <c r="O55" s="83"/>
      <c r="P55" s="83"/>
      <c r="Q55" s="245">
        <f>'Capital Structure'!F19</f>
        <v>4.5416581074180805E-2</v>
      </c>
    </row>
    <row r="56" spans="2:20" ht="16.5" thickBot="1" x14ac:dyDescent="0.3">
      <c r="B56" s="113" t="s">
        <v>673</v>
      </c>
      <c r="C56" s="104"/>
      <c r="D56" s="104"/>
      <c r="E56" s="104"/>
      <c r="F56" s="104"/>
      <c r="G56" s="104"/>
      <c r="H56" s="104"/>
      <c r="I56" s="112"/>
    </row>
    <row r="57" spans="2:20" ht="15.75" x14ac:dyDescent="0.25">
      <c r="B57" s="115" t="str">
        <f>B11</f>
        <v>Total Streaming Revenue</v>
      </c>
      <c r="C57" s="101"/>
      <c r="D57" s="101"/>
      <c r="E57" s="101"/>
      <c r="F57" s="101"/>
      <c r="G57" s="101"/>
      <c r="H57" s="101"/>
      <c r="I57" s="118"/>
      <c r="M57" s="98" t="s">
        <v>674</v>
      </c>
      <c r="N57" s="99"/>
      <c r="O57" s="99"/>
      <c r="P57" s="99"/>
      <c r="Q57" s="99"/>
      <c r="R57" s="99"/>
      <c r="S57" s="100"/>
    </row>
    <row r="58" spans="2:20" ht="15.75" x14ac:dyDescent="0.25">
      <c r="B58" s="116" t="s">
        <v>675</v>
      </c>
      <c r="C58" s="117"/>
      <c r="D58" s="101"/>
      <c r="E58" s="101"/>
      <c r="F58" s="101"/>
      <c r="G58" s="101"/>
      <c r="H58" s="101"/>
      <c r="I58" s="118">
        <v>0.02</v>
      </c>
      <c r="M58" s="79" t="s">
        <v>676</v>
      </c>
      <c r="N58" s="84"/>
      <c r="O58" s="84"/>
      <c r="P58" s="84"/>
      <c r="Q58" s="84"/>
      <c r="R58" s="84"/>
      <c r="S58" s="246">
        <f>'Capital Structure'!G31</f>
        <v>424749.291601</v>
      </c>
    </row>
    <row r="59" spans="2:20" ht="15.75" x14ac:dyDescent="0.25">
      <c r="B59" s="116" t="s">
        <v>677</v>
      </c>
      <c r="C59" s="117"/>
      <c r="D59" s="101"/>
      <c r="E59" s="101"/>
      <c r="F59" s="101"/>
      <c r="G59" s="101"/>
      <c r="H59" s="101"/>
      <c r="I59" s="118">
        <v>-0.02</v>
      </c>
      <c r="M59" s="80" t="s">
        <v>678</v>
      </c>
      <c r="N59" s="84"/>
      <c r="O59" s="84"/>
      <c r="P59" s="84"/>
      <c r="Q59" s="84"/>
      <c r="R59" s="84"/>
      <c r="S59" s="246">
        <f>'Capital Structure'!H31</f>
        <v>17083.538</v>
      </c>
    </row>
    <row r="60" spans="2:20" ht="15.75" x14ac:dyDescent="0.25">
      <c r="B60" s="115" t="s">
        <v>679</v>
      </c>
      <c r="C60" s="117"/>
      <c r="D60" s="101"/>
      <c r="E60" s="101"/>
      <c r="F60" s="101"/>
      <c r="G60" s="101"/>
      <c r="H60" s="101"/>
      <c r="I60" s="118"/>
      <c r="M60" s="80" t="s">
        <v>680</v>
      </c>
      <c r="N60" s="85"/>
      <c r="O60" s="85"/>
      <c r="P60" s="85"/>
      <c r="Q60" s="85"/>
      <c r="R60" s="85"/>
      <c r="S60" s="246">
        <f>'Capital Structure'!J31</f>
        <v>441832.829601</v>
      </c>
    </row>
    <row r="61" spans="2:20" ht="15.75" x14ac:dyDescent="0.25">
      <c r="B61" s="116" t="s">
        <v>675</v>
      </c>
      <c r="C61" s="117"/>
      <c r="D61" s="101"/>
      <c r="E61" s="101"/>
      <c r="F61" s="101"/>
      <c r="G61" s="101"/>
      <c r="H61" s="101"/>
      <c r="I61" s="118">
        <v>0.01</v>
      </c>
      <c r="M61" s="80" t="s">
        <v>681</v>
      </c>
      <c r="N61" s="81"/>
      <c r="O61" s="81"/>
      <c r="P61" s="81"/>
      <c r="Q61" s="81"/>
      <c r="R61" s="81"/>
      <c r="S61" s="247">
        <f>S58/S60</f>
        <v>0.96133483784935714</v>
      </c>
    </row>
    <row r="62" spans="2:20" ht="15.75" x14ac:dyDescent="0.25">
      <c r="B62" s="116" t="s">
        <v>677</v>
      </c>
      <c r="C62" s="117"/>
      <c r="D62" s="101"/>
      <c r="E62" s="101"/>
      <c r="F62" s="101"/>
      <c r="G62" s="101"/>
      <c r="H62" s="101"/>
      <c r="I62" s="118">
        <v>-5.0000000000000001E-3</v>
      </c>
      <c r="M62" s="80" t="s">
        <v>682</v>
      </c>
      <c r="N62" s="86"/>
      <c r="O62" s="86"/>
      <c r="P62" s="86"/>
      <c r="Q62" s="86"/>
      <c r="R62" s="86"/>
      <c r="S62" s="248">
        <f>S59/S60</f>
        <v>3.8665162150642814E-2</v>
      </c>
    </row>
    <row r="63" spans="2:20" ht="15.75" x14ac:dyDescent="0.25">
      <c r="B63" s="115" t="str">
        <f>B17</f>
        <v>Paid net membership additions</v>
      </c>
      <c r="C63" s="117"/>
      <c r="D63" s="101"/>
      <c r="E63" s="101"/>
      <c r="F63" s="101"/>
      <c r="G63" s="101"/>
      <c r="H63" s="101"/>
      <c r="I63" s="118"/>
      <c r="M63" s="80" t="s">
        <v>683</v>
      </c>
      <c r="N63" s="86"/>
      <c r="O63" s="86"/>
      <c r="P63" s="86"/>
      <c r="Q63" s="86"/>
      <c r="R63" s="86"/>
      <c r="S63" s="249">
        <v>0.25</v>
      </c>
    </row>
    <row r="64" spans="2:20" ht="16.5" thickBot="1" x14ac:dyDescent="0.3">
      <c r="B64" s="116" t="s">
        <v>675</v>
      </c>
      <c r="C64" s="117"/>
      <c r="D64" s="101"/>
      <c r="E64" s="101"/>
      <c r="F64" s="101"/>
      <c r="G64" s="101"/>
      <c r="H64" s="101"/>
      <c r="I64" s="118">
        <v>0.03</v>
      </c>
      <c r="M64" s="87" t="s">
        <v>684</v>
      </c>
      <c r="N64" s="88"/>
      <c r="O64" s="88"/>
      <c r="P64" s="88"/>
      <c r="Q64" s="88"/>
      <c r="R64" s="88"/>
      <c r="S64" s="255">
        <f>'Capital Structure'!F19*(1-'Assumption Table'!Q34)*'Assumption Table'!S62+'Assumption Table'!Q54*'Assumption Table'!S61</f>
        <v>0.14007181257693413</v>
      </c>
      <c r="T64" s="458"/>
    </row>
    <row r="65" spans="2:18" ht="15.75" x14ac:dyDescent="0.25">
      <c r="B65" s="116" t="s">
        <v>677</v>
      </c>
      <c r="C65" s="117"/>
      <c r="D65" s="101"/>
      <c r="E65" s="101"/>
      <c r="F65" s="101"/>
      <c r="G65" s="101"/>
      <c r="H65" s="101"/>
      <c r="I65" s="118">
        <v>-0.03</v>
      </c>
    </row>
    <row r="66" spans="2:18" ht="15.75" x14ac:dyDescent="0.25">
      <c r="B66" s="116"/>
      <c r="C66" s="117"/>
      <c r="D66" s="101"/>
      <c r="E66" s="101"/>
      <c r="F66" s="101"/>
      <c r="G66" s="101"/>
      <c r="H66" s="101"/>
      <c r="I66" s="118"/>
    </row>
    <row r="67" spans="2:18" ht="15.75" x14ac:dyDescent="0.25">
      <c r="B67" s="442" t="s">
        <v>685</v>
      </c>
      <c r="C67" s="21"/>
      <c r="D67" s="21"/>
      <c r="E67" s="21"/>
      <c r="F67" s="21"/>
      <c r="G67" s="101"/>
      <c r="H67" s="101"/>
      <c r="I67" s="118"/>
      <c r="L67" s="343" t="s">
        <v>686</v>
      </c>
      <c r="M67" s="279"/>
      <c r="N67" s="286"/>
      <c r="O67" s="286"/>
      <c r="P67" s="286"/>
      <c r="Q67" s="345"/>
    </row>
    <row r="68" spans="2:18" ht="15.75" x14ac:dyDescent="0.25">
      <c r="B68" s="114" t="s">
        <v>47</v>
      </c>
      <c r="C68" s="101"/>
      <c r="D68" s="101"/>
      <c r="E68" s="101"/>
      <c r="F68" s="101"/>
      <c r="G68" s="101"/>
      <c r="H68" s="101"/>
      <c r="I68" s="118"/>
      <c r="L68" s="32"/>
      <c r="M68" s="104"/>
      <c r="N68" s="104"/>
      <c r="O68" s="104"/>
      <c r="P68" s="101"/>
      <c r="Q68" s="74"/>
    </row>
    <row r="69" spans="2:18" ht="15.75" x14ac:dyDescent="0.25">
      <c r="B69" s="116" t="s">
        <v>675</v>
      </c>
      <c r="C69" s="117"/>
      <c r="D69" s="101"/>
      <c r="E69" s="101"/>
      <c r="F69" s="101"/>
      <c r="G69" s="101"/>
      <c r="H69" s="101"/>
      <c r="I69" s="118">
        <v>-0.02</v>
      </c>
      <c r="L69" s="106" t="s">
        <v>687</v>
      </c>
      <c r="M69" s="31"/>
      <c r="N69" s="107"/>
      <c r="O69" s="31"/>
      <c r="P69" s="105"/>
      <c r="Q69" s="259">
        <v>0.04</v>
      </c>
      <c r="R69" s="101" t="s">
        <v>688</v>
      </c>
    </row>
    <row r="70" spans="2:18" ht="15.75" x14ac:dyDescent="0.25">
      <c r="B70" s="116" t="s">
        <v>677</v>
      </c>
      <c r="C70" s="117"/>
      <c r="D70" s="101"/>
      <c r="E70" s="101"/>
      <c r="F70" s="101"/>
      <c r="G70" s="101"/>
      <c r="H70" s="101"/>
      <c r="I70" s="118">
        <v>0.02</v>
      </c>
    </row>
    <row r="71" spans="2:18" ht="15.75" x14ac:dyDescent="0.25">
      <c r="B71" s="114" t="s">
        <v>48</v>
      </c>
      <c r="C71" s="101"/>
      <c r="D71" s="101"/>
      <c r="E71" s="101"/>
      <c r="F71" s="101"/>
      <c r="G71" s="101"/>
      <c r="H71" s="101"/>
      <c r="I71" s="118"/>
      <c r="L71" s="343" t="s">
        <v>23</v>
      </c>
      <c r="M71" s="286"/>
      <c r="N71" s="286"/>
      <c r="O71" s="286"/>
      <c r="P71" s="286"/>
      <c r="Q71" s="286"/>
      <c r="R71" s="344"/>
    </row>
    <row r="72" spans="2:18" ht="15.75" x14ac:dyDescent="0.25">
      <c r="B72" s="116" t="s">
        <v>675</v>
      </c>
      <c r="C72" s="117"/>
      <c r="D72" s="101"/>
      <c r="E72" s="101"/>
      <c r="F72" s="101"/>
      <c r="G72" s="101"/>
      <c r="H72" s="101"/>
      <c r="I72" s="118">
        <v>-1.4999999999999999E-2</v>
      </c>
      <c r="L72" s="20" t="str">
        <f>'Data Source Table'!G1033</f>
        <v xml:space="preserve">NTM TEV/Forward Total Revenue (Capital IQ) </v>
      </c>
      <c r="M72" s="60"/>
      <c r="N72" s="60"/>
      <c r="O72" s="60"/>
      <c r="P72" s="60"/>
      <c r="Q72" s="60"/>
      <c r="R72" s="108">
        <f>'Data Source Table'!G1044</f>
        <v>3.0377777777777779</v>
      </c>
    </row>
    <row r="73" spans="2:18" ht="15.75" x14ac:dyDescent="0.25">
      <c r="B73" s="116" t="s">
        <v>677</v>
      </c>
      <c r="C73" s="117"/>
      <c r="D73" s="101"/>
      <c r="E73" s="101"/>
      <c r="F73" s="101"/>
      <c r="G73" s="101"/>
      <c r="H73" s="101"/>
      <c r="I73" s="118">
        <v>1.4999999999999999E-2</v>
      </c>
      <c r="L73" s="20" t="str">
        <f>'Data Source Table'!H1033</f>
        <v xml:space="preserve">NTM TEV/Forward EBITDA (Capital IQ) </v>
      </c>
      <c r="M73" s="60"/>
      <c r="N73" s="60"/>
      <c r="O73" s="60"/>
      <c r="P73" s="60"/>
      <c r="Q73" s="60"/>
      <c r="R73" s="108">
        <f>'Data Source Table'!H1044</f>
        <v>16.385555555555555</v>
      </c>
    </row>
    <row r="74" spans="2:18" ht="15.75" x14ac:dyDescent="0.25">
      <c r="B74" s="114" t="str">
        <f>B31</f>
        <v>Sales and Marketing</v>
      </c>
      <c r="C74" s="101"/>
      <c r="D74" s="101"/>
      <c r="E74" s="101"/>
      <c r="F74" s="101"/>
      <c r="G74" s="101"/>
      <c r="H74" s="101"/>
      <c r="I74" s="118"/>
      <c r="L74" s="23" t="str">
        <f>'Data Source Table'!I1033</f>
        <v xml:space="preserve">NTM Forward P/E (Capital IQ) </v>
      </c>
      <c r="M74" s="63"/>
      <c r="N74" s="63"/>
      <c r="O74" s="63"/>
      <c r="P74" s="63"/>
      <c r="Q74" s="63"/>
      <c r="R74" s="109">
        <f>'Data Source Table'!I1044</f>
        <v>34.172000000000004</v>
      </c>
    </row>
    <row r="75" spans="2:18" ht="15.75" x14ac:dyDescent="0.25">
      <c r="B75" s="116" t="s">
        <v>675</v>
      </c>
      <c r="C75" s="117"/>
      <c r="D75" s="101"/>
      <c r="E75" s="101"/>
      <c r="F75" s="101"/>
      <c r="G75" s="101"/>
      <c r="H75" s="101"/>
      <c r="I75" s="118">
        <v>-0.01</v>
      </c>
    </row>
    <row r="76" spans="2:18" ht="15.75" x14ac:dyDescent="0.25">
      <c r="B76" s="116" t="s">
        <v>677</v>
      </c>
      <c r="C76" s="117"/>
      <c r="D76" s="101"/>
      <c r="E76" s="101"/>
      <c r="F76" s="101"/>
      <c r="G76" s="101"/>
      <c r="H76" s="101"/>
      <c r="I76" s="118">
        <v>0.01</v>
      </c>
      <c r="L76" s="343" t="s">
        <v>689</v>
      </c>
      <c r="M76" s="286"/>
      <c r="N76" s="286"/>
      <c r="O76" s="286"/>
      <c r="P76" s="286"/>
      <c r="Q76" s="286"/>
      <c r="R76" s="344"/>
    </row>
    <row r="77" spans="2:18" ht="15.75" x14ac:dyDescent="0.25">
      <c r="B77" s="120"/>
      <c r="C77" s="117"/>
      <c r="D77" s="101"/>
      <c r="E77" s="101"/>
      <c r="F77" s="101"/>
      <c r="G77" s="101"/>
      <c r="H77" s="101"/>
      <c r="I77" s="118"/>
      <c r="L77" s="20" t="str">
        <f>L72</f>
        <v xml:space="preserve">NTM TEV/Forward Total Revenue (Capital IQ) </v>
      </c>
      <c r="M77" s="60"/>
      <c r="N77" s="60"/>
      <c r="O77" s="60"/>
      <c r="P77" s="60"/>
      <c r="Q77" s="60"/>
      <c r="R77" s="108">
        <f>'Data Source Table'!G1047</f>
        <v>9.39</v>
      </c>
    </row>
    <row r="78" spans="2:18" ht="15.75" x14ac:dyDescent="0.25">
      <c r="B78" s="121" t="s">
        <v>690</v>
      </c>
      <c r="C78" s="437"/>
      <c r="D78" s="437"/>
      <c r="E78" s="437"/>
      <c r="F78" s="437"/>
      <c r="G78" s="437"/>
      <c r="H78" s="437"/>
      <c r="I78" s="438"/>
      <c r="L78" s="20" t="str">
        <f t="shared" ref="L78" si="0">L73</f>
        <v xml:space="preserve">NTM TEV/Forward EBITDA (Capital IQ) </v>
      </c>
      <c r="M78" s="60"/>
      <c r="N78" s="60"/>
      <c r="O78" s="60"/>
      <c r="P78" s="60"/>
      <c r="Q78" s="60"/>
      <c r="R78" s="108">
        <f>'Data Source Table'!H1047</f>
        <v>28.14</v>
      </c>
    </row>
    <row r="79" spans="2:18" x14ac:dyDescent="0.25">
      <c r="B79" s="439" t="s">
        <v>675</v>
      </c>
      <c r="C79" s="440"/>
      <c r="D79" s="437"/>
      <c r="E79" s="437"/>
      <c r="F79" s="437"/>
      <c r="G79" s="437"/>
      <c r="H79" s="437"/>
      <c r="I79" s="441">
        <v>0.02</v>
      </c>
      <c r="L79" s="23" t="str">
        <f>L74</f>
        <v xml:space="preserve">NTM Forward P/E (Capital IQ) </v>
      </c>
      <c r="M79" s="63"/>
      <c r="N79" s="63"/>
      <c r="O79" s="63"/>
      <c r="P79" s="63"/>
      <c r="Q79" s="63"/>
      <c r="R79" s="109">
        <f>'Data Source Table'!I1047</f>
        <v>32.590000000000003</v>
      </c>
    </row>
    <row r="80" spans="2:18" x14ac:dyDescent="0.25">
      <c r="B80" s="439" t="s">
        <v>677</v>
      </c>
      <c r="C80" s="440"/>
      <c r="D80" s="437"/>
      <c r="E80" s="437"/>
      <c r="F80" s="437"/>
      <c r="G80" s="437"/>
      <c r="H80" s="437"/>
      <c r="I80" s="441">
        <v>-0.02</v>
      </c>
    </row>
    <row r="81" spans="2:9" ht="15.75" x14ac:dyDescent="0.25">
      <c r="B81" s="121" t="s">
        <v>691</v>
      </c>
      <c r="C81" s="101"/>
      <c r="D81" s="101"/>
      <c r="E81" s="101"/>
      <c r="F81" s="101"/>
      <c r="G81" s="101"/>
      <c r="H81" s="101"/>
      <c r="I81" s="76"/>
    </row>
    <row r="82" spans="2:9" ht="15.75" x14ac:dyDescent="0.25">
      <c r="B82" s="116" t="s">
        <v>692</v>
      </c>
      <c r="C82" s="117"/>
      <c r="D82" s="101"/>
      <c r="E82" s="101"/>
      <c r="F82" s="101"/>
      <c r="G82" s="101"/>
      <c r="H82" s="101"/>
      <c r="I82" s="118">
        <v>-1.4999999999999999E-2</v>
      </c>
    </row>
    <row r="83" spans="2:9" ht="15.75" x14ac:dyDescent="0.25">
      <c r="B83" s="122" t="s">
        <v>693</v>
      </c>
      <c r="C83" s="123"/>
      <c r="D83" s="102"/>
      <c r="E83" s="102"/>
      <c r="F83" s="102"/>
      <c r="G83" s="102"/>
      <c r="H83" s="102"/>
      <c r="I83" s="124">
        <v>1.4999999999999999E-2</v>
      </c>
    </row>
  </sheetData>
  <pageMargins left="0.7" right="0.7" top="0.75" bottom="0.75" header="0.3" footer="0.3"/>
  <pageSetup scale="56" fitToHeight="0" orientation="landscape" r:id="rId1"/>
  <headerFooter>
    <oddHeader xml:space="preserve">&amp;CKey Modeling Assumptions – Netflix, Inc.
</oddHeader>
    <oddFooter xml:space="preserve">&amp;LPrepared by: Tolulope Oluwabunmi
&amp;CFor Portfolio &amp; Educational Purposes Only
&amp;R&amp;D | Page &amp;P of &amp;N
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P305"/>
  <sheetViews>
    <sheetView showGridLines="0" tabSelected="1" view="pageLayout" topLeftCell="C73" zoomScale="70" zoomScaleNormal="70" zoomScalePageLayoutView="70" workbookViewId="0">
      <selection activeCell="K3" sqref="K3"/>
    </sheetView>
  </sheetViews>
  <sheetFormatPr defaultColWidth="8.85546875" defaultRowHeight="15.75" x14ac:dyDescent="0.25"/>
  <cols>
    <col min="1" max="1" width="2.85546875" style="101" customWidth="1"/>
    <col min="2" max="2" width="54.85546875" style="101" customWidth="1"/>
    <col min="3" max="3" width="29.140625" style="101" customWidth="1"/>
    <col min="4" max="4" width="17.85546875" style="101" customWidth="1"/>
    <col min="5" max="5" width="22.28515625" style="101" customWidth="1"/>
    <col min="6" max="6" width="20.7109375" style="101" customWidth="1"/>
    <col min="7" max="7" width="19" style="101" customWidth="1"/>
    <col min="8" max="8" width="21.42578125" style="101" customWidth="1"/>
    <col min="9" max="9" width="23.28515625" style="101" customWidth="1"/>
    <col min="10" max="10" width="23" style="101" customWidth="1"/>
    <col min="11" max="16384" width="8.85546875" style="101"/>
  </cols>
  <sheetData>
    <row r="2" spans="1:16" x14ac:dyDescent="0.25">
      <c r="A2" s="291" t="s">
        <v>694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</row>
    <row r="4" spans="1:16" x14ac:dyDescent="0.25">
      <c r="C4" s="293">
        <f>D4-1</f>
        <v>2022</v>
      </c>
      <c r="D4" s="293">
        <f>E4-1</f>
        <v>2023</v>
      </c>
      <c r="E4" s="293">
        <f>F4-1</f>
        <v>2024</v>
      </c>
      <c r="F4" s="294">
        <f>'Assumption Table'!I5</f>
        <v>2025</v>
      </c>
      <c r="G4" s="294">
        <f>F4+1</f>
        <v>2026</v>
      </c>
      <c r="H4" s="294">
        <f>G4+1</f>
        <v>2027</v>
      </c>
      <c r="I4" s="294">
        <f>H4+1</f>
        <v>2028</v>
      </c>
      <c r="J4" s="294">
        <f>I4+1</f>
        <v>2029</v>
      </c>
    </row>
    <row r="6" spans="1:16" x14ac:dyDescent="0.25">
      <c r="B6" s="101" t="str">
        <f>'Data Source Table'!A82</f>
        <v>Total Streaming Revenue</v>
      </c>
      <c r="C6" s="295">
        <f>'Data Source Table'!E82</f>
        <v>31469852</v>
      </c>
      <c r="D6" s="295">
        <f>'Data Source Table'!F82</f>
        <v>33640458</v>
      </c>
      <c r="E6" s="295">
        <f>'Data Source Table'!G82</f>
        <v>39000966</v>
      </c>
      <c r="F6" s="296">
        <f>E6*(1+'Scenario Table'!H10)</f>
        <v>44721374.395338945</v>
      </c>
      <c r="G6" s="296">
        <f>F6*(1+'Scenario Table'!I10)</f>
        <v>51280815.142067961</v>
      </c>
      <c r="H6" s="296">
        <f>G6*(1+'Scenario Table'!J10)</f>
        <v>58802352.056269266</v>
      </c>
      <c r="I6" s="296">
        <f>H6*(1+'Scenario Table'!K10)</f>
        <v>67427099.155311868</v>
      </c>
      <c r="J6" s="296">
        <f>I6*(1+'Scenario Table'!L10)</f>
        <v>77316868.144146591</v>
      </c>
      <c r="K6" s="296"/>
      <c r="L6" s="296"/>
    </row>
    <row r="7" spans="1:16" x14ac:dyDescent="0.25">
      <c r="B7" s="101" t="str">
        <f>'Data Source Table'!A83</f>
        <v>DVD REVENUE</v>
      </c>
      <c r="C7" s="295">
        <f>'Data Source Table'!E83</f>
        <v>145698</v>
      </c>
      <c r="D7" s="295">
        <f>'Data Source Table'!F83</f>
        <v>82839</v>
      </c>
      <c r="E7" s="295">
        <f>'Data Source Table'!G83</f>
        <v>0</v>
      </c>
      <c r="F7" s="296">
        <f>E7*(1+'Assumption Table'!$I$12)</f>
        <v>0</v>
      </c>
      <c r="G7" s="296">
        <f>F7*(1+'Assumption Table'!$I$12)</f>
        <v>0</v>
      </c>
      <c r="H7" s="296">
        <f>G7*(1+'Assumption Table'!$I$12)</f>
        <v>0</v>
      </c>
      <c r="I7" s="296">
        <f>H7*(1+'Assumption Table'!$I$12)</f>
        <v>0</v>
      </c>
      <c r="J7" s="296">
        <f>I7*(1+'Assumption Table'!$I$12)</f>
        <v>0</v>
      </c>
      <c r="K7" s="296"/>
      <c r="L7" s="296"/>
    </row>
    <row r="8" spans="1:16" x14ac:dyDescent="0.25">
      <c r="B8" s="126" t="str">
        <f>'Data Source Table'!A84</f>
        <v>Total Revenue</v>
      </c>
      <c r="C8" s="295">
        <f>'Data Source Table'!E84</f>
        <v>31615550</v>
      </c>
      <c r="D8" s="295">
        <f>'Data Source Table'!F84</f>
        <v>33723297</v>
      </c>
      <c r="E8" s="295">
        <f>'Data Source Table'!G84</f>
        <v>39000966</v>
      </c>
      <c r="F8" s="297">
        <f>F6+F7</f>
        <v>44721374.395338945</v>
      </c>
      <c r="G8" s="297">
        <f t="shared" ref="G8:J8" si="0">G6+G7</f>
        <v>51280815.142067961</v>
      </c>
      <c r="H8" s="297">
        <f t="shared" si="0"/>
        <v>58802352.056269266</v>
      </c>
      <c r="I8" s="297">
        <f t="shared" si="0"/>
        <v>67427099.155311868</v>
      </c>
      <c r="J8" s="297">
        <f t="shared" si="0"/>
        <v>77316868.144146591</v>
      </c>
      <c r="K8" s="296"/>
      <c r="L8" s="296"/>
    </row>
    <row r="9" spans="1:16" x14ac:dyDescent="0.25">
      <c r="B9" s="126"/>
      <c r="C9" s="295"/>
      <c r="D9" s="295"/>
      <c r="E9" s="295"/>
      <c r="F9" s="296"/>
      <c r="G9" s="296"/>
      <c r="H9" s="296"/>
      <c r="I9" s="296"/>
      <c r="J9" s="296"/>
      <c r="K9" s="296"/>
      <c r="L9" s="296"/>
    </row>
    <row r="10" spans="1:16" x14ac:dyDescent="0.25">
      <c r="B10" s="126" t="str">
        <f>'Data Source Table'!A86</f>
        <v>Operating Income</v>
      </c>
      <c r="C10" s="295">
        <f>'Data Source Table'!E86</f>
        <v>5632831</v>
      </c>
      <c r="D10" s="295">
        <f>'Data Source Table'!F86</f>
        <v>6954003</v>
      </c>
      <c r="E10" s="295">
        <f>'Data Source Table'!G86</f>
        <v>10417614</v>
      </c>
      <c r="F10" s="296">
        <f>E10*(1+'Assumption Table'!$I$13)</f>
        <v>14071267.296800639</v>
      </c>
      <c r="G10" s="296">
        <f>F10*(1+'Assumption Table'!$I$13)</f>
        <v>19006325.56917651</v>
      </c>
      <c r="H10" s="296">
        <f>G10*(1+'Assumption Table'!$I$13)</f>
        <v>25672201.659026645</v>
      </c>
      <c r="I10" s="296">
        <f>H10*(1+'Assumption Table'!$I$13)</f>
        <v>34675925.950177528</v>
      </c>
      <c r="J10" s="296">
        <f>I10*(1+'Assumption Table'!$I$13)</f>
        <v>46837425.806812733</v>
      </c>
      <c r="K10" s="296"/>
      <c r="L10" s="296"/>
    </row>
    <row r="11" spans="1:16" x14ac:dyDescent="0.25">
      <c r="B11" s="126" t="str">
        <f>'Data Source Table'!A87</f>
        <v>Operating margin</v>
      </c>
      <c r="C11" s="298">
        <f>'Data Source Table'!E87</f>
        <v>0.18</v>
      </c>
      <c r="D11" s="298">
        <f>'Data Source Table'!F87</f>
        <v>0.21</v>
      </c>
      <c r="E11" s="298">
        <f>'Data Source Table'!G87</f>
        <v>0.27</v>
      </c>
      <c r="F11" s="132">
        <f>F10/F8</f>
        <v>0.31464299760579828</v>
      </c>
      <c r="G11" s="132">
        <f t="shared" ref="G11:J11" si="1">G10/G8</f>
        <v>0.37063228258992253</v>
      </c>
      <c r="H11" s="132">
        <f t="shared" si="1"/>
        <v>0.43658460522906212</v>
      </c>
      <c r="I11" s="132">
        <f t="shared" si="1"/>
        <v>0.51427284258966643</v>
      </c>
      <c r="J11" s="132">
        <f t="shared" si="1"/>
        <v>0.60578534711844301</v>
      </c>
      <c r="K11" s="296"/>
      <c r="L11" s="296"/>
    </row>
    <row r="12" spans="1:16" x14ac:dyDescent="0.25">
      <c r="B12" s="126"/>
      <c r="C12" s="295"/>
      <c r="D12" s="295"/>
      <c r="E12" s="295"/>
      <c r="F12" s="296"/>
      <c r="G12" s="296"/>
      <c r="H12" s="296"/>
      <c r="I12" s="296"/>
      <c r="J12" s="296"/>
      <c r="K12" s="296"/>
      <c r="L12" s="296"/>
    </row>
    <row r="13" spans="1:16" x14ac:dyDescent="0.25">
      <c r="B13" s="126" t="str">
        <f>'Data Source Table'!A89</f>
        <v>Paid net membership additions</v>
      </c>
      <c r="C13" s="295">
        <f>'Data Source Table'!E89</f>
        <v>8903</v>
      </c>
      <c r="D13" s="295">
        <f>'Data Source Table'!F89</f>
        <v>29529</v>
      </c>
      <c r="E13" s="295">
        <f>'Data Source Table'!G89</f>
        <v>41350</v>
      </c>
      <c r="F13" s="296">
        <f>E13*(1+'Scenario Table'!H25)</f>
        <v>58038.678508023288</v>
      </c>
      <c r="G13" s="296">
        <f>F13*(1+'Scenario Table'!I25)</f>
        <v>81462.834412519573</v>
      </c>
      <c r="H13" s="296">
        <f>G13*(1+'Scenario Table'!J25)</f>
        <v>114340.87682758305</v>
      </c>
      <c r="I13" s="296">
        <f>H13*(1+'Scenario Table'!K25)</f>
        <v>160488.35285420998</v>
      </c>
      <c r="J13" s="296">
        <f>I13*(1+'Scenario Table'!L25)</f>
        <v>225260.74765629249</v>
      </c>
      <c r="K13" s="296"/>
      <c r="L13" s="296"/>
    </row>
    <row r="14" spans="1:16" x14ac:dyDescent="0.25">
      <c r="B14" s="126" t="str">
        <f>'Data Source Table'!A90</f>
        <v>Paid memberships at end of period</v>
      </c>
      <c r="C14" s="295">
        <f>'Data Source Table'!E90</f>
        <v>230747</v>
      </c>
      <c r="D14" s="295">
        <f>'Data Source Table'!F90</f>
        <v>260276</v>
      </c>
      <c r="E14" s="295">
        <f>'Data Source Table'!G90</f>
        <v>301626</v>
      </c>
      <c r="F14" s="296">
        <f>E14*(1+'Assumption Table'!$I$18)</f>
        <v>339940.043046062</v>
      </c>
      <c r="G14" s="296">
        <f>F14*(1+'Assumption Table'!$I$18)</f>
        <v>383120.92746035982</v>
      </c>
      <c r="H14" s="296">
        <f>G14*(1+'Assumption Table'!$I$18)</f>
        <v>431786.8637740842</v>
      </c>
      <c r="I14" s="296">
        <f>H14*(1+'Assumption Table'!$I$18)</f>
        <v>486634.59071196214</v>
      </c>
      <c r="J14" s="296">
        <f>I14*(1+'Assumption Table'!$I$18)</f>
        <v>548449.35023614403</v>
      </c>
      <c r="K14" s="296"/>
      <c r="L14" s="296"/>
    </row>
    <row r="15" spans="1:16" x14ac:dyDescent="0.25">
      <c r="B15" s="126" t="str">
        <f>'Data Source Table'!A91</f>
        <v>Average paying memberships</v>
      </c>
      <c r="C15" s="295">
        <f>'Data Source Table'!E91</f>
        <v>222924</v>
      </c>
      <c r="D15" s="295">
        <f>'Data Source Table'!F91</f>
        <v>240889</v>
      </c>
      <c r="E15" s="295">
        <f>'Data Source Table'!G91</f>
        <v>277730</v>
      </c>
      <c r="F15" s="296">
        <f>E15*(1+'Scenario Table'!H18)</f>
        <v>313382.5180700217</v>
      </c>
      <c r="G15" s="296">
        <f>F15*(1+'Scenario Table'!I18)</f>
        <v>353611.79070286779</v>
      </c>
      <c r="H15" s="296">
        <f>G15*(1+'Scenario Table'!J18)</f>
        <v>399005.34112164401</v>
      </c>
      <c r="I15" s="296">
        <f>H15*(1+'Scenario Table'!K18)</f>
        <v>450226.11357825506</v>
      </c>
      <c r="J15" s="296">
        <f>I15*(1+'Scenario Table'!L18)</f>
        <v>508022.15523722017</v>
      </c>
      <c r="K15" s="296"/>
      <c r="L15" s="296"/>
    </row>
    <row r="16" spans="1:16" x14ac:dyDescent="0.25">
      <c r="B16" s="126" t="str">
        <f>'Data Source Table'!A92</f>
        <v>Average monthly revenue per paying membership</v>
      </c>
      <c r="C16" s="299">
        <f>'Data Source Table'!E92</f>
        <v>11.76</v>
      </c>
      <c r="D16" s="299">
        <f>'Data Source Table'!F92</f>
        <v>11.64</v>
      </c>
      <c r="E16" s="299">
        <f>'Data Source Table'!G92</f>
        <v>11.7</v>
      </c>
      <c r="F16" s="300">
        <f>E16*(1+'Assumption Table'!$I$20)</f>
        <v>11.888700948912966</v>
      </c>
      <c r="G16" s="300">
        <f>F16*(1+'Assumption Table'!$I$20)</f>
        <v>12.080445320742227</v>
      </c>
      <c r="H16" s="300">
        <f>G16*(1+'Assumption Table'!$I$20)</f>
        <v>12.275282200683701</v>
      </c>
      <c r="I16" s="300">
        <f>H16*(1+'Assumption Table'!$I$20)</f>
        <v>12.473261465593399</v>
      </c>
      <c r="J16" s="300">
        <f>I16*(1+'Assumption Table'!$I$20)</f>
        <v>12.674433796755537</v>
      </c>
      <c r="K16" s="296"/>
      <c r="L16" s="296"/>
    </row>
    <row r="17" spans="2:12" x14ac:dyDescent="0.25">
      <c r="B17" s="126"/>
      <c r="C17" s="296"/>
      <c r="D17" s="296"/>
      <c r="E17" s="296"/>
      <c r="F17" s="296"/>
      <c r="G17" s="296"/>
      <c r="H17" s="296"/>
      <c r="I17" s="296"/>
      <c r="J17" s="296"/>
      <c r="K17" s="296"/>
      <c r="L17" s="296"/>
    </row>
    <row r="18" spans="2:12" x14ac:dyDescent="0.25">
      <c r="B18" s="126" t="s">
        <v>37</v>
      </c>
      <c r="C18" s="295">
        <f>C8</f>
        <v>31615550</v>
      </c>
      <c r="D18" s="295">
        <f t="shared" ref="D18:J18" si="2">D8</f>
        <v>33723297</v>
      </c>
      <c r="E18" s="295">
        <f t="shared" si="2"/>
        <v>39000966</v>
      </c>
      <c r="F18" s="297">
        <f t="shared" si="2"/>
        <v>44721374.395338945</v>
      </c>
      <c r="G18" s="297">
        <f t="shared" si="2"/>
        <v>51280815.142067961</v>
      </c>
      <c r="H18" s="297">
        <f t="shared" si="2"/>
        <v>58802352.056269266</v>
      </c>
      <c r="I18" s="297">
        <f t="shared" si="2"/>
        <v>67427099.155311868</v>
      </c>
      <c r="J18" s="297">
        <f t="shared" si="2"/>
        <v>77316868.144146591</v>
      </c>
      <c r="K18" s="296"/>
      <c r="L18" s="296"/>
    </row>
    <row r="19" spans="2:12" x14ac:dyDescent="0.25">
      <c r="B19" s="101" t="str">
        <f>'Data Source Table'!A94</f>
        <v>Cost of Revenues</v>
      </c>
      <c r="C19" s="295">
        <f>'Data Source Table'!E94</f>
        <v>19168285</v>
      </c>
      <c r="D19" s="295">
        <f>'Data Source Table'!F94</f>
        <v>19715368</v>
      </c>
      <c r="E19" s="295">
        <f>'Data Source Table'!G94</f>
        <v>21038464</v>
      </c>
      <c r="F19" s="297">
        <f>E19*(1+'Assumption Table'!$I$35)</f>
        <v>23412213.438800111</v>
      </c>
      <c r="G19" s="297">
        <f>F19*(1+'Assumption Table'!$I$35)</f>
        <v>26053790.718939014</v>
      </c>
      <c r="H19" s="297">
        <f>G19*(1+'Assumption Table'!$I$35)</f>
        <v>28993414.595363501</v>
      </c>
      <c r="I19" s="297">
        <f>H19*(1+'Assumption Table'!$I$35)</f>
        <v>32264713.375761304</v>
      </c>
      <c r="J19" s="297">
        <f>I19*(1+'Assumption Table'!$I$35)</f>
        <v>35905109.617081955</v>
      </c>
      <c r="K19" s="296"/>
      <c r="L19" s="296"/>
    </row>
    <row r="20" spans="2:12" x14ac:dyDescent="0.25">
      <c r="C20" s="296"/>
      <c r="D20" s="296"/>
      <c r="E20" s="296"/>
      <c r="F20" s="296"/>
      <c r="G20" s="296"/>
      <c r="H20" s="296"/>
      <c r="I20" s="296"/>
      <c r="J20" s="296"/>
      <c r="K20" s="296"/>
      <c r="L20" s="296"/>
    </row>
    <row r="21" spans="2:12" x14ac:dyDescent="0.25">
      <c r="B21" s="291" t="s">
        <v>695</v>
      </c>
      <c r="C21" s="301"/>
      <c r="D21" s="301"/>
      <c r="E21" s="301"/>
      <c r="F21" s="301"/>
      <c r="G21" s="301"/>
      <c r="H21" s="301"/>
      <c r="I21" s="301"/>
      <c r="J21" s="301"/>
      <c r="K21" s="296"/>
      <c r="L21" s="296"/>
    </row>
    <row r="22" spans="2:12" x14ac:dyDescent="0.25">
      <c r="C22" s="296"/>
      <c r="D22" s="296"/>
      <c r="E22" s="296"/>
      <c r="F22" s="296"/>
      <c r="G22" s="296"/>
      <c r="H22" s="296"/>
      <c r="I22" s="296"/>
      <c r="J22" s="296"/>
      <c r="K22" s="296"/>
      <c r="L22" s="296"/>
    </row>
    <row r="23" spans="2:12" x14ac:dyDescent="0.25">
      <c r="C23" s="293">
        <f>C4</f>
        <v>2022</v>
      </c>
      <c r="D23" s="293">
        <f t="shared" ref="D23:J23" si="3">D4</f>
        <v>2023</v>
      </c>
      <c r="E23" s="293">
        <f t="shared" si="3"/>
        <v>2024</v>
      </c>
      <c r="F23" s="294">
        <f t="shared" si="3"/>
        <v>2025</v>
      </c>
      <c r="G23" s="294">
        <f t="shared" si="3"/>
        <v>2026</v>
      </c>
      <c r="H23" s="294">
        <f t="shared" si="3"/>
        <v>2027</v>
      </c>
      <c r="I23" s="294">
        <f t="shared" si="3"/>
        <v>2028</v>
      </c>
      <c r="J23" s="294">
        <f t="shared" si="3"/>
        <v>2029</v>
      </c>
      <c r="K23" s="296"/>
      <c r="L23" s="296"/>
    </row>
    <row r="24" spans="2:12" x14ac:dyDescent="0.25">
      <c r="B24" s="101" t="s">
        <v>696</v>
      </c>
      <c r="C24" s="296"/>
      <c r="D24" s="296"/>
      <c r="E24" s="296"/>
      <c r="F24" s="296"/>
      <c r="G24" s="296"/>
      <c r="H24" s="296"/>
      <c r="I24" s="296"/>
      <c r="J24" s="296"/>
      <c r="K24" s="296"/>
      <c r="L24" s="296"/>
    </row>
    <row r="25" spans="2:12" x14ac:dyDescent="0.25">
      <c r="B25" s="101" t="str">
        <f>'Data Source Table'!A97</f>
        <v>Sales and Marketing</v>
      </c>
      <c r="C25" s="295">
        <f>'Data Source Table'!E97</f>
        <v>2530502</v>
      </c>
      <c r="D25" s="295">
        <f>'Data Source Table'!F97</f>
        <v>2657883</v>
      </c>
      <c r="E25" s="295">
        <f>'Data Source Table'!G97</f>
        <v>2917554</v>
      </c>
      <c r="F25" s="296">
        <f>E25*(1+'Scenario Table'!H48)</f>
        <v>2990232.4895795556</v>
      </c>
      <c r="G25" s="296">
        <f>F25*(1+'Scenario Table'!I48)</f>
        <v>3064721.4556224653</v>
      </c>
      <c r="H25" s="296">
        <f>G25*(1+'Scenario Table'!J48)</f>
        <v>3141065.9984746962</v>
      </c>
      <c r="I25" s="296">
        <f>H25*(1+'Scenario Table'!K48)</f>
        <v>3219312.3419661415</v>
      </c>
      <c r="J25" s="296">
        <f>I25*(1+'Scenario Table'!L48)</f>
        <v>3299507.8613974601</v>
      </c>
      <c r="K25" s="296"/>
      <c r="L25" s="296"/>
    </row>
    <row r="26" spans="2:12" x14ac:dyDescent="0.25">
      <c r="B26" s="101" t="str">
        <f>'Data Source Table'!A98</f>
        <v>Technology and development</v>
      </c>
      <c r="C26" s="295">
        <f>'Data Source Table'!E98</f>
        <v>2711041</v>
      </c>
      <c r="D26" s="295">
        <f>'Data Source Table'!F98</f>
        <v>2675758</v>
      </c>
      <c r="E26" s="295">
        <f>'Data Source Table'!G98</f>
        <v>2925295</v>
      </c>
      <c r="F26" s="296">
        <f>E26*(1+'Scenario Table'!H34)</f>
        <v>3334496.5418874933</v>
      </c>
      <c r="G26" s="296">
        <f>F26*(1+'Scenario Table'!I34)</f>
        <v>3800938.7729646587</v>
      </c>
      <c r="H26" s="296">
        <f>G26*(1+'Scenario Table'!J34)</f>
        <v>4332628.7415035907</v>
      </c>
      <c r="I26" s="296">
        <f>H26*(1+'Scenario Table'!K34)</f>
        <v>4938693.5525566088</v>
      </c>
      <c r="J26" s="296">
        <f>I26*(1+'Scenario Table'!L34)</f>
        <v>5629537.0458166003</v>
      </c>
      <c r="K26" s="296"/>
      <c r="L26" s="296"/>
    </row>
    <row r="27" spans="2:12" x14ac:dyDescent="0.25">
      <c r="B27" s="101" t="str">
        <f>'Data Source Table'!A99</f>
        <v>General and administrative</v>
      </c>
      <c r="C27" s="295">
        <f>'Data Source Table'!E99</f>
        <v>1572891</v>
      </c>
      <c r="D27" s="295">
        <f>'Data Source Table'!F99</f>
        <v>1720285</v>
      </c>
      <c r="E27" s="295">
        <f>'Data Source Table'!G99</f>
        <v>1702039</v>
      </c>
      <c r="F27" s="296">
        <f>E27*(1+'Scenario Table'!H41)</f>
        <v>1933412.5729011982</v>
      </c>
      <c r="G27" s="296">
        <f>F27*(1+'Scenario Table'!I41)</f>
        <v>2196238.8506094343</v>
      </c>
      <c r="H27" s="296">
        <f>G27*(1+'Scenario Table'!J41)</f>
        <v>2494793.4840872367</v>
      </c>
      <c r="I27" s="296">
        <f>H27*(1+'Scenario Table'!K41)</f>
        <v>2833933.3522476563</v>
      </c>
      <c r="J27" s="296">
        <f>I27*(1+'Scenario Table'!L41)</f>
        <v>3219175.5735324859</v>
      </c>
      <c r="K27" s="296"/>
      <c r="L27" s="296"/>
    </row>
    <row r="28" spans="2:12" x14ac:dyDescent="0.25">
      <c r="C28" s="296"/>
      <c r="D28" s="296"/>
      <c r="E28" s="296"/>
      <c r="F28" s="296"/>
      <c r="G28" s="296"/>
      <c r="H28" s="296"/>
      <c r="I28" s="296"/>
      <c r="J28" s="296"/>
      <c r="K28" s="296"/>
      <c r="L28" s="296"/>
    </row>
    <row r="29" spans="2:12" x14ac:dyDescent="0.25">
      <c r="B29" s="228" t="s">
        <v>697</v>
      </c>
      <c r="C29" s="296"/>
      <c r="D29" s="296"/>
      <c r="E29" s="296"/>
      <c r="F29" s="296">
        <f>'Assumption Table'!Q47</f>
        <v>505201</v>
      </c>
      <c r="G29" s="296">
        <f>'Assumption Table'!R47</f>
        <v>477256</v>
      </c>
      <c r="H29" s="296">
        <f>'Assumption Table'!S47</f>
        <v>415983</v>
      </c>
      <c r="I29" s="296">
        <f>'Assumption Table'!T47</f>
        <v>345912</v>
      </c>
      <c r="J29" s="296">
        <f>'Assumption Table'!U47</f>
        <v>276109</v>
      </c>
      <c r="K29" s="296"/>
      <c r="L29" s="296"/>
    </row>
    <row r="30" spans="2:12" x14ac:dyDescent="0.25">
      <c r="C30" s="296"/>
      <c r="D30" s="296"/>
      <c r="E30" s="296"/>
      <c r="F30" s="296"/>
      <c r="G30" s="296"/>
      <c r="H30" s="296"/>
      <c r="I30" s="296"/>
      <c r="J30" s="296"/>
      <c r="K30" s="296"/>
      <c r="L30" s="296"/>
    </row>
    <row r="31" spans="2:12" x14ac:dyDescent="0.25">
      <c r="B31" s="232" t="s">
        <v>698</v>
      </c>
      <c r="C31" s="296">
        <f>SUM(C25:C29)</f>
        <v>6814434</v>
      </c>
      <c r="D31" s="296">
        <f t="shared" ref="D31:J31" si="4">SUM(D25:D29)</f>
        <v>7053926</v>
      </c>
      <c r="E31" s="296">
        <f t="shared" si="4"/>
        <v>7544888</v>
      </c>
      <c r="F31" s="296">
        <f t="shared" si="4"/>
        <v>8763342.6043682471</v>
      </c>
      <c r="G31" s="296">
        <f t="shared" si="4"/>
        <v>9539155.0791965593</v>
      </c>
      <c r="H31" s="296">
        <f t="shared" si="4"/>
        <v>10384471.224065524</v>
      </c>
      <c r="I31" s="296">
        <f t="shared" si="4"/>
        <v>11337851.246770408</v>
      </c>
      <c r="J31" s="296">
        <f t="shared" si="4"/>
        <v>12424329.480746547</v>
      </c>
      <c r="K31" s="296"/>
      <c r="L31" s="296"/>
    </row>
    <row r="32" spans="2:12" x14ac:dyDescent="0.25">
      <c r="C32" s="296"/>
      <c r="D32" s="296"/>
      <c r="E32" s="296"/>
      <c r="F32" s="296"/>
      <c r="G32" s="296"/>
      <c r="H32" s="296"/>
      <c r="I32" s="296"/>
      <c r="J32" s="296"/>
      <c r="K32" s="296"/>
      <c r="L32" s="296"/>
    </row>
    <row r="33" spans="1:12" x14ac:dyDescent="0.25">
      <c r="C33" s="296"/>
      <c r="D33" s="296"/>
      <c r="E33" s="296"/>
      <c r="F33" s="296"/>
      <c r="G33" s="296"/>
      <c r="H33" s="296"/>
      <c r="I33" s="296"/>
      <c r="J33" s="296"/>
      <c r="K33" s="296"/>
      <c r="L33" s="296"/>
    </row>
    <row r="34" spans="1:12" x14ac:dyDescent="0.25">
      <c r="C34" s="296"/>
      <c r="D34" s="296"/>
      <c r="E34" s="296"/>
      <c r="F34" s="296"/>
      <c r="G34" s="296"/>
      <c r="H34" s="296"/>
      <c r="I34" s="296"/>
      <c r="J34" s="296"/>
    </row>
    <row r="35" spans="1:12" x14ac:dyDescent="0.25">
      <c r="C35" s="296"/>
      <c r="D35" s="296"/>
      <c r="E35" s="296"/>
      <c r="F35" s="296"/>
      <c r="G35" s="296"/>
      <c r="H35" s="296"/>
      <c r="I35" s="296"/>
      <c r="J35" s="296"/>
    </row>
    <row r="36" spans="1:12" x14ac:dyDescent="0.25">
      <c r="A36" s="102"/>
      <c r="B36" s="291" t="s">
        <v>699</v>
      </c>
      <c r="C36" s="301"/>
      <c r="D36" s="301"/>
      <c r="E36" s="301"/>
      <c r="F36" s="301"/>
      <c r="G36" s="301"/>
      <c r="H36" s="301"/>
      <c r="I36" s="301"/>
      <c r="J36" s="301"/>
    </row>
    <row r="37" spans="1:12" x14ac:dyDescent="0.25">
      <c r="C37" s="296"/>
      <c r="D37" s="296"/>
      <c r="E37" s="296"/>
      <c r="F37" s="296"/>
      <c r="G37" s="296"/>
      <c r="H37" s="296"/>
      <c r="I37" s="296"/>
      <c r="J37" s="296"/>
    </row>
    <row r="38" spans="1:12" x14ac:dyDescent="0.25">
      <c r="C38" s="293">
        <f>C23</f>
        <v>2022</v>
      </c>
      <c r="D38" s="293">
        <f t="shared" ref="D38:J38" si="5">D23</f>
        <v>2023</v>
      </c>
      <c r="E38" s="293">
        <f t="shared" si="5"/>
        <v>2024</v>
      </c>
      <c r="F38" s="294">
        <f t="shared" si="5"/>
        <v>2025</v>
      </c>
      <c r="G38" s="294">
        <f t="shared" si="5"/>
        <v>2026</v>
      </c>
      <c r="H38" s="294">
        <f t="shared" si="5"/>
        <v>2027</v>
      </c>
      <c r="I38" s="294">
        <f t="shared" si="5"/>
        <v>2028</v>
      </c>
      <c r="J38" s="294">
        <f t="shared" si="5"/>
        <v>2029</v>
      </c>
    </row>
    <row r="39" spans="1:12" x14ac:dyDescent="0.25">
      <c r="B39" s="193" t="s">
        <v>696</v>
      </c>
      <c r="C39" s="296"/>
      <c r="D39" s="296"/>
      <c r="E39" s="296"/>
      <c r="F39" s="296"/>
      <c r="G39" s="296"/>
      <c r="H39" s="296"/>
      <c r="I39" s="296"/>
      <c r="J39" s="296"/>
    </row>
    <row r="40" spans="1:12" x14ac:dyDescent="0.25">
      <c r="B40" s="101" t="s">
        <v>51</v>
      </c>
      <c r="C40" s="295">
        <f>'Data Source Table'!E106</f>
        <v>85005</v>
      </c>
      <c r="D40" s="295">
        <f>'Data Source Table'!F106</f>
        <v>85000</v>
      </c>
      <c r="E40" s="295">
        <f>'Data Source Table'!G106</f>
        <v>85000</v>
      </c>
      <c r="F40" s="296">
        <f>'Assumption Table'!$V$5*'The Model'!F18</f>
        <v>109039.18018938284</v>
      </c>
      <c r="G40" s="296">
        <f>'Assumption Table'!$V$5*'The Model'!G18</f>
        <v>125032.33896848133</v>
      </c>
      <c r="H40" s="296">
        <f>'Assumption Table'!$V$5*'The Model'!H18</f>
        <v>143371.27040736325</v>
      </c>
      <c r="I40" s="296">
        <f>'Assumption Table'!$V$5*'The Model'!I18</f>
        <v>164400.03720479825</v>
      </c>
      <c r="J40" s="296">
        <f>'Assumption Table'!$V$5*'The Model'!J18</f>
        <v>188513.16694164535</v>
      </c>
    </row>
    <row r="41" spans="1:12" x14ac:dyDescent="0.25">
      <c r="B41" s="101" t="s">
        <v>700</v>
      </c>
      <c r="C41" s="295"/>
      <c r="D41" s="295"/>
      <c r="E41" s="295"/>
      <c r="F41" s="296">
        <f>(F40-E40)/1000</f>
        <v>24.039180189382837</v>
      </c>
      <c r="G41" s="296">
        <f t="shared" ref="G41:J41" si="6">(G40-F40)/1000</f>
        <v>15.993158779098492</v>
      </c>
      <c r="H41" s="296">
        <f t="shared" si="6"/>
        <v>18.338931438881918</v>
      </c>
      <c r="I41" s="296">
        <f t="shared" si="6"/>
        <v>21.028766797435004</v>
      </c>
      <c r="J41" s="296">
        <f t="shared" si="6"/>
        <v>24.1131297368471</v>
      </c>
    </row>
    <row r="42" spans="1:12" x14ac:dyDescent="0.25">
      <c r="B42" s="101" t="s">
        <v>52</v>
      </c>
      <c r="C42" s="295">
        <f>'Data Source Table'!E107</f>
        <v>52106</v>
      </c>
      <c r="D42" s="295">
        <f>'Data Source Table'!F107</f>
        <v>154165</v>
      </c>
      <c r="E42" s="295">
        <f>'Data Source Table'!G107</f>
        <v>475684</v>
      </c>
      <c r="F42" s="296">
        <f>'Assumption Table'!$V$6*'The Model'!F18</f>
        <v>194499.30029479216</v>
      </c>
      <c r="G42" s="296">
        <f>'Assumption Table'!$V$6*'The Model'!G18</f>
        <v>223027.19445756442</v>
      </c>
      <c r="H42" s="296">
        <f>'Assumption Table'!$V$6*'The Model'!H18</f>
        <v>255739.37485750482</v>
      </c>
      <c r="I42" s="296">
        <f>'Assumption Table'!$V$6*'The Model'!I18</f>
        <v>293249.56542441552</v>
      </c>
      <c r="J42" s="296">
        <f>'Assumption Table'!$V$6*'The Model'!J18</f>
        <v>336261.50712820113</v>
      </c>
    </row>
    <row r="43" spans="1:12" x14ac:dyDescent="0.25">
      <c r="B43" s="101" t="s">
        <v>700</v>
      </c>
      <c r="C43" s="295"/>
      <c r="D43" s="295"/>
      <c r="E43" s="295"/>
      <c r="F43" s="296">
        <f>(F42-E42)/1000</f>
        <v>-281.18469970520783</v>
      </c>
      <c r="G43" s="296">
        <f t="shared" ref="G43:J43" si="7">(G42-F42)/1000</f>
        <v>28.527894162772252</v>
      </c>
      <c r="H43" s="296">
        <f t="shared" si="7"/>
        <v>32.712180399940408</v>
      </c>
      <c r="I43" s="296">
        <f t="shared" si="7"/>
        <v>37.510190566910694</v>
      </c>
      <c r="J43" s="296">
        <f t="shared" si="7"/>
        <v>43.011941703785617</v>
      </c>
    </row>
    <row r="44" spans="1:12" x14ac:dyDescent="0.25">
      <c r="B44" s="101" t="s">
        <v>53</v>
      </c>
      <c r="C44" s="295">
        <f>'Data Source Table'!E108</f>
        <v>1040570</v>
      </c>
      <c r="D44" s="295">
        <f>'Data Source Table'!F108</f>
        <v>1032492</v>
      </c>
      <c r="E44" s="295">
        <f>'Data Source Table'!G108</f>
        <v>1026593</v>
      </c>
      <c r="F44" s="296">
        <f>'Assumption Table'!$V$7*'The Model'!F18</f>
        <v>1251373.0525964813</v>
      </c>
      <c r="G44" s="296">
        <f>'Assumption Table'!$V$7*'The Model'!G18</f>
        <v>1434916.324723993</v>
      </c>
      <c r="H44" s="296">
        <f>'Assumption Table'!$V$7*'The Model'!H18</f>
        <v>1645380.5319582454</v>
      </c>
      <c r="I44" s="296">
        <f>'Assumption Table'!$V$7*'The Model'!I18</f>
        <v>1886714.2622187012</v>
      </c>
      <c r="J44" s="296">
        <f>'Assumption Table'!$V$7*'The Model'!J18</f>
        <v>2163445.2566561615</v>
      </c>
    </row>
    <row r="45" spans="1:12" x14ac:dyDescent="0.25">
      <c r="B45" s="101" t="s">
        <v>700</v>
      </c>
      <c r="C45" s="295"/>
      <c r="D45" s="295"/>
      <c r="E45" s="295"/>
      <c r="F45" s="296">
        <f>(F44-E44)/1000</f>
        <v>224.78005259648128</v>
      </c>
      <c r="G45" s="296">
        <f t="shared" ref="G45:J45" si="8">(G44-F44)/1000</f>
        <v>183.54327212751167</v>
      </c>
      <c r="H45" s="296">
        <f t="shared" si="8"/>
        <v>210.46420723425248</v>
      </c>
      <c r="I45" s="296">
        <f t="shared" si="8"/>
        <v>241.33373026045575</v>
      </c>
      <c r="J45" s="296">
        <f t="shared" si="8"/>
        <v>276.73099443746031</v>
      </c>
    </row>
    <row r="46" spans="1:12" x14ac:dyDescent="0.25">
      <c r="B46" s="101" t="s">
        <v>54</v>
      </c>
      <c r="C46" s="295">
        <f>'Data Source Table'!E109</f>
        <v>153682</v>
      </c>
      <c r="D46" s="295">
        <f>'Data Source Table'!F109</f>
        <v>144737</v>
      </c>
      <c r="E46" s="295">
        <f>'Data Source Table'!G109</f>
        <v>134987</v>
      </c>
      <c r="F46" s="296">
        <f>'Assumption Table'!$V$8*'The Model'!F18</f>
        <v>194357.23417472513</v>
      </c>
      <c r="G46" s="296">
        <f>'Assumption Table'!$V$8*'The Model'!G18</f>
        <v>222864.29100167539</v>
      </c>
      <c r="H46" s="296">
        <f>'Assumption Table'!$V$8*'The Model'!H18</f>
        <v>255552.57778070658</v>
      </c>
      <c r="I46" s="296">
        <f>'Assumption Table'!$V$8*'The Model'!I18</f>
        <v>293035.37016557378</v>
      </c>
      <c r="J46" s="296">
        <f>'Assumption Table'!$V$8*'The Model'!J18</f>
        <v>336015.89509991521</v>
      </c>
    </row>
    <row r="47" spans="1:12" x14ac:dyDescent="0.25">
      <c r="B47" s="101" t="s">
        <v>700</v>
      </c>
      <c r="C47" s="295"/>
      <c r="D47" s="295"/>
      <c r="E47" s="295"/>
      <c r="F47" s="296">
        <f>(F46-E46)/1000</f>
        <v>59.370234174725134</v>
      </c>
      <c r="G47" s="296">
        <f t="shared" ref="G47:J47" si="9">(G46-F46)/1000</f>
        <v>28.507056826950254</v>
      </c>
      <c r="H47" s="296">
        <f t="shared" si="9"/>
        <v>32.688286779031188</v>
      </c>
      <c r="I47" s="296">
        <f t="shared" si="9"/>
        <v>37.48279238486721</v>
      </c>
      <c r="J47" s="296">
        <f t="shared" si="9"/>
        <v>42.980524934341432</v>
      </c>
    </row>
    <row r="48" spans="1:12" x14ac:dyDescent="0.25">
      <c r="B48" s="101" t="s">
        <v>55</v>
      </c>
      <c r="C48" s="295">
        <f>'Data Source Table'!E110</f>
        <v>442681</v>
      </c>
      <c r="D48" s="295">
        <f>'Data Source Table'!F110</f>
        <v>414092</v>
      </c>
      <c r="E48" s="295">
        <f>'Data Source Table'!G110</f>
        <v>446419</v>
      </c>
      <c r="F48" s="296">
        <f>'Assumption Table'!$V$9*'The Model'!F18</f>
        <v>553297.99001599511</v>
      </c>
      <c r="G48" s="296">
        <f>'Assumption Table'!$V$9*'The Model'!G18</f>
        <v>634452.14571592479</v>
      </c>
      <c r="H48" s="296">
        <f>'Assumption Table'!$V$9*'The Model'!H18</f>
        <v>727509.46590625506</v>
      </c>
      <c r="I48" s="296">
        <f>'Assumption Table'!$V$9*'The Model'!I18</f>
        <v>834215.82944757584</v>
      </c>
      <c r="J48" s="296">
        <f>'Assumption Table'!$V$9*'The Model'!J18</f>
        <v>956573.18937288015</v>
      </c>
    </row>
    <row r="49" spans="2:10" x14ac:dyDescent="0.25">
      <c r="B49" s="101" t="s">
        <v>700</v>
      </c>
      <c r="C49" s="295"/>
      <c r="D49" s="295"/>
      <c r="E49" s="295"/>
      <c r="F49" s="296">
        <f>(F48-E48)/1000</f>
        <v>106.8789900159951</v>
      </c>
      <c r="G49" s="296">
        <f t="shared" ref="G49:J49" si="10">(G48-F48)/1000</f>
        <v>81.154155699929689</v>
      </c>
      <c r="H49" s="296">
        <f t="shared" si="10"/>
        <v>93.057320190330273</v>
      </c>
      <c r="I49" s="296">
        <f t="shared" si="10"/>
        <v>106.70636354132078</v>
      </c>
      <c r="J49" s="296">
        <f t="shared" si="10"/>
        <v>122.35735992530431</v>
      </c>
    </row>
    <row r="50" spans="2:10" x14ac:dyDescent="0.25">
      <c r="B50" s="101" t="s">
        <v>56</v>
      </c>
      <c r="C50" s="295">
        <f>'Data Source Table'!E111</f>
        <v>115578</v>
      </c>
      <c r="D50" s="295">
        <f>'Data Source Table'!F111</f>
        <v>99175</v>
      </c>
      <c r="E50" s="295">
        <f>'Data Source Table'!G111</f>
        <v>99175</v>
      </c>
      <c r="F50" s="296">
        <f>'Assumption Table'!$V$10*'The Model'!F18</f>
        <v>154755.86751670833</v>
      </c>
      <c r="G50" s="296">
        <f>'Assumption Table'!$V$10*'The Model'!G18</f>
        <v>177454.45307919261</v>
      </c>
      <c r="H50" s="296">
        <f>'Assumption Table'!$V$10*'The Model'!H18</f>
        <v>203482.31975266151</v>
      </c>
      <c r="I50" s="296">
        <f>'Assumption Table'!$V$10*'The Model'!I18</f>
        <v>233327.78486796579</v>
      </c>
      <c r="J50" s="296">
        <f>'Assumption Table'!$V$10*'The Model'!J18</f>
        <v>267550.78897059627</v>
      </c>
    </row>
    <row r="51" spans="2:10" x14ac:dyDescent="0.25">
      <c r="B51" s="101" t="s">
        <v>700</v>
      </c>
      <c r="C51" s="295"/>
      <c r="D51" s="295"/>
      <c r="E51" s="295"/>
      <c r="F51" s="296">
        <f>(F50-E50)/1000</f>
        <v>55.580867516708331</v>
      </c>
      <c r="G51" s="296">
        <f t="shared" ref="G51:J51" si="11">(G50-F50)/1000</f>
        <v>22.698585562484279</v>
      </c>
      <c r="H51" s="296">
        <f t="shared" si="11"/>
        <v>26.027866673468903</v>
      </c>
      <c r="I51" s="296">
        <f t="shared" si="11"/>
        <v>29.845465115304279</v>
      </c>
      <c r="J51" s="296">
        <f t="shared" si="11"/>
        <v>34.223004102630483</v>
      </c>
    </row>
    <row r="52" spans="2:10" x14ac:dyDescent="0.25">
      <c r="B52" s="101" t="s">
        <v>57</v>
      </c>
      <c r="C52" s="295">
        <f>'Data Source Table'!E112</f>
        <v>26821</v>
      </c>
      <c r="D52" s="295">
        <f>'Data Source Table'!F112</f>
        <v>10334</v>
      </c>
      <c r="E52" s="295">
        <f>'Data Source Table'!G112</f>
        <v>15135</v>
      </c>
      <c r="F52" s="296">
        <f>'Assumption Table'!$V$11*'The Model'!F18</f>
        <v>35958.248548136042</v>
      </c>
      <c r="G52" s="296">
        <f>'Assumption Table'!$V$11*'The Model'!G18</f>
        <v>41232.370909014018</v>
      </c>
      <c r="H52" s="296">
        <f>'Assumption Table'!$V$11*'The Model'!H18</f>
        <v>47280.067284217985</v>
      </c>
      <c r="I52" s="296">
        <f>'Assumption Table'!$V$11*'The Model'!I18</f>
        <v>54214.800486078442</v>
      </c>
      <c r="J52" s="296">
        <f>'Assumption Table'!$V$11*'The Model'!J18</f>
        <v>62166.675315337518</v>
      </c>
    </row>
    <row r="53" spans="2:10" x14ac:dyDescent="0.25">
      <c r="B53" s="101" t="s">
        <v>700</v>
      </c>
      <c r="C53" s="295"/>
      <c r="D53" s="295"/>
      <c r="E53" s="295"/>
      <c r="F53" s="296">
        <f>(F52-E52)/1000</f>
        <v>20.823248548136043</v>
      </c>
      <c r="G53" s="296">
        <f t="shared" ref="G53:J53" si="12">(G52-F52)/1000</f>
        <v>5.2741223608779766</v>
      </c>
      <c r="H53" s="296">
        <f t="shared" si="12"/>
        <v>6.0476963752039667</v>
      </c>
      <c r="I53" s="296">
        <f t="shared" si="12"/>
        <v>6.9347332018604577</v>
      </c>
      <c r="J53" s="296">
        <f t="shared" si="12"/>
        <v>7.9518748292590757</v>
      </c>
    </row>
    <row r="54" spans="2:10" x14ac:dyDescent="0.25">
      <c r="B54" s="101" t="s">
        <v>58</v>
      </c>
      <c r="C54" s="295">
        <f>'Data Source Table'!E113</f>
        <v>235555</v>
      </c>
      <c r="D54" s="295">
        <f>'Data Source Table'!F113</f>
        <v>406492</v>
      </c>
      <c r="E54" s="295">
        <f>'Data Source Table'!G113</f>
        <v>228300</v>
      </c>
      <c r="F54" s="296">
        <f>'Assumption Table'!$V$12*'The Model'!F18</f>
        <v>418647.92300042202</v>
      </c>
      <c r="G54" s="296">
        <f>'Assumption Table'!$V$12*'The Model'!G18</f>
        <v>480052.48137527931</v>
      </c>
      <c r="H54" s="296">
        <f>'Assumption Table'!$V$12*'The Model'!H18</f>
        <v>550463.46157157596</v>
      </c>
      <c r="I54" s="296">
        <f>'Assumption Table'!$V$12*'The Model'!I18</f>
        <v>631201.86704854248</v>
      </c>
      <c r="J54" s="296">
        <f>'Assumption Table'!$V$12*'The Model'!J18</f>
        <v>723782.45747335651</v>
      </c>
    </row>
    <row r="55" spans="2:10" x14ac:dyDescent="0.25">
      <c r="B55" s="101" t="s">
        <v>700</v>
      </c>
      <c r="C55" s="295"/>
      <c r="D55" s="295"/>
      <c r="E55" s="295"/>
      <c r="F55" s="296">
        <f>(F54-E54)/1000</f>
        <v>190.34792300042201</v>
      </c>
      <c r="G55" s="296">
        <f t="shared" ref="G55:J55" si="13">(G54-F54)/1000</f>
        <v>61.404558374857295</v>
      </c>
      <c r="H55" s="296">
        <f t="shared" si="13"/>
        <v>70.410980196296649</v>
      </c>
      <c r="I55" s="296">
        <f t="shared" si="13"/>
        <v>80.73840547696652</v>
      </c>
      <c r="J55" s="296">
        <f t="shared" si="13"/>
        <v>92.580590424814034</v>
      </c>
    </row>
    <row r="56" spans="2:10" x14ac:dyDescent="0.25">
      <c r="C56" s="295"/>
      <c r="D56" s="295"/>
      <c r="E56" s="295"/>
      <c r="F56" s="296"/>
      <c r="G56" s="296"/>
      <c r="H56" s="296"/>
      <c r="I56" s="296"/>
      <c r="J56" s="296"/>
    </row>
    <row r="57" spans="2:10" x14ac:dyDescent="0.25">
      <c r="B57" s="101" t="s">
        <v>252</v>
      </c>
      <c r="C57" s="295">
        <f>'Data Source Table'!E388*1000</f>
        <v>4379120</v>
      </c>
      <c r="D57" s="295">
        <f>'Data Source Table'!F388*1000</f>
        <v>4423386</v>
      </c>
      <c r="E57" s="295">
        <f>'Data Source Table'!G388*1000</f>
        <v>4613603</v>
      </c>
      <c r="F57" s="296">
        <f>F40+F42+F44+F46+F48+F50+F52+F54</f>
        <v>2911928.7963366429</v>
      </c>
      <c r="G57" s="296">
        <f t="shared" ref="G57:J57" si="14">G40+G42+G44+G46+G48+G50+G52+G54</f>
        <v>3339031.6002311246</v>
      </c>
      <c r="H57" s="296">
        <f t="shared" si="14"/>
        <v>3828779.0695185307</v>
      </c>
      <c r="I57" s="296">
        <f t="shared" si="14"/>
        <v>4390359.5168636516</v>
      </c>
      <c r="J57" s="296">
        <f t="shared" si="14"/>
        <v>5034308.9369580932</v>
      </c>
    </row>
    <row r="58" spans="2:10" x14ac:dyDescent="0.25">
      <c r="B58" s="101" t="s">
        <v>253</v>
      </c>
      <c r="C58" s="295">
        <f>'Data Source Table'!E389*1000</f>
        <v>-753700</v>
      </c>
      <c r="D58" s="295">
        <f>'Data Source Table'!F389*1000</f>
        <v>-855000</v>
      </c>
      <c r="E58" s="295">
        <f>'Data Source Table'!G389*1000</f>
        <v>-917500</v>
      </c>
      <c r="F58" s="297">
        <f>(E58-F143)</f>
        <v>-1131021.3666666667</v>
      </c>
      <c r="G58" s="297">
        <f t="shared" ref="G58:J58" si="15">(F58-G143)</f>
        <v>-1344591.318428149</v>
      </c>
      <c r="H58" s="297">
        <f t="shared" si="15"/>
        <v>-1558199.7142631125</v>
      </c>
      <c r="I58" s="297">
        <f t="shared" si="15"/>
        <v>-1771852.1928985745</v>
      </c>
      <c r="J58" s="297">
        <f t="shared" si="15"/>
        <v>-1985555.2201134099</v>
      </c>
    </row>
    <row r="59" spans="2:10" x14ac:dyDescent="0.25">
      <c r="C59" s="296"/>
      <c r="D59" s="296"/>
      <c r="E59" s="296"/>
      <c r="F59" s="297">
        <f>F57+F58</f>
        <v>1780907.4296699762</v>
      </c>
      <c r="G59" s="297">
        <f t="shared" ref="G59:J59" si="16">G57+G58</f>
        <v>1994440.2818029756</v>
      </c>
      <c r="H59" s="297">
        <f t="shared" si="16"/>
        <v>2270579.3552554185</v>
      </c>
      <c r="I59" s="297">
        <f t="shared" si="16"/>
        <v>2618507.3239650773</v>
      </c>
      <c r="J59" s="297">
        <f t="shared" si="16"/>
        <v>3048753.7168446835</v>
      </c>
    </row>
    <row r="60" spans="2:10" x14ac:dyDescent="0.25">
      <c r="C60" s="296"/>
      <c r="D60" s="296"/>
      <c r="E60" s="296"/>
      <c r="F60" s="296"/>
      <c r="G60" s="296"/>
      <c r="H60" s="296"/>
      <c r="I60" s="296"/>
      <c r="J60" s="296"/>
    </row>
    <row r="61" spans="2:10" x14ac:dyDescent="0.25">
      <c r="B61" s="291" t="s">
        <v>701</v>
      </c>
      <c r="C61" s="301"/>
      <c r="D61" s="301"/>
      <c r="E61" s="301"/>
      <c r="F61" s="301"/>
      <c r="G61" s="301"/>
      <c r="H61" s="301"/>
      <c r="I61" s="301"/>
      <c r="J61" s="301"/>
    </row>
    <row r="62" spans="2:10" x14ac:dyDescent="0.25">
      <c r="C62" s="293">
        <f>C38</f>
        <v>2022</v>
      </c>
      <c r="D62" s="293">
        <f t="shared" ref="D62:J62" si="17">D38</f>
        <v>2023</v>
      </c>
      <c r="E62" s="293">
        <f t="shared" si="17"/>
        <v>2024</v>
      </c>
      <c r="F62" s="294">
        <f t="shared" si="17"/>
        <v>2025</v>
      </c>
      <c r="G62" s="294">
        <f t="shared" si="17"/>
        <v>2026</v>
      </c>
      <c r="H62" s="294">
        <f t="shared" si="17"/>
        <v>2027</v>
      </c>
      <c r="I62" s="294">
        <f t="shared" si="17"/>
        <v>2028</v>
      </c>
      <c r="J62" s="294">
        <f t="shared" si="17"/>
        <v>2029</v>
      </c>
    </row>
    <row r="63" spans="2:10" x14ac:dyDescent="0.25">
      <c r="B63" s="101" t="s">
        <v>702</v>
      </c>
    </row>
    <row r="64" spans="2:10" x14ac:dyDescent="0.25">
      <c r="B64" s="101" t="s">
        <v>703</v>
      </c>
      <c r="E64" s="295">
        <f>E42</f>
        <v>475684</v>
      </c>
      <c r="F64" s="296">
        <f>F43</f>
        <v>-281.18469970520783</v>
      </c>
      <c r="G64" s="296">
        <f t="shared" ref="G64:J64" si="18">G43</f>
        <v>28.527894162772252</v>
      </c>
      <c r="H64" s="296">
        <f t="shared" si="18"/>
        <v>32.712180399940408</v>
      </c>
      <c r="I64" s="296">
        <f t="shared" si="18"/>
        <v>37.510190566910694</v>
      </c>
      <c r="J64" s="296">
        <f t="shared" si="18"/>
        <v>43.011941703785617</v>
      </c>
    </row>
    <row r="65" spans="2:10" x14ac:dyDescent="0.25">
      <c r="B65" s="101" t="s">
        <v>53</v>
      </c>
      <c r="E65" s="295">
        <f>E44</f>
        <v>1026593</v>
      </c>
      <c r="F65" s="296">
        <f>F45</f>
        <v>224.78005259648128</v>
      </c>
      <c r="G65" s="296">
        <f t="shared" ref="G65:J65" si="19">G45</f>
        <v>183.54327212751167</v>
      </c>
      <c r="H65" s="296">
        <f t="shared" si="19"/>
        <v>210.46420723425248</v>
      </c>
      <c r="I65" s="296">
        <f t="shared" si="19"/>
        <v>241.33373026045575</v>
      </c>
      <c r="J65" s="296">
        <f t="shared" si="19"/>
        <v>276.73099443746031</v>
      </c>
    </row>
    <row r="66" spans="2:10" x14ac:dyDescent="0.25">
      <c r="B66" s="101" t="s">
        <v>54</v>
      </c>
      <c r="E66" s="295">
        <f>E46</f>
        <v>134987</v>
      </c>
      <c r="F66" s="296">
        <f>F47</f>
        <v>59.370234174725134</v>
      </c>
      <c r="G66" s="296">
        <f t="shared" ref="G66:J66" si="20">G47</f>
        <v>28.507056826950254</v>
      </c>
      <c r="H66" s="296">
        <f t="shared" si="20"/>
        <v>32.688286779031188</v>
      </c>
      <c r="I66" s="296">
        <f t="shared" si="20"/>
        <v>37.48279238486721</v>
      </c>
      <c r="J66" s="296">
        <f t="shared" si="20"/>
        <v>42.980524934341432</v>
      </c>
    </row>
    <row r="67" spans="2:10" x14ac:dyDescent="0.25">
      <c r="B67" s="101" t="s">
        <v>704</v>
      </c>
      <c r="E67" s="295">
        <f>E48</f>
        <v>446419</v>
      </c>
      <c r="F67" s="296">
        <f>F49</f>
        <v>106.8789900159951</v>
      </c>
      <c r="G67" s="296">
        <f t="shared" ref="G67:J67" si="21">G49</f>
        <v>81.154155699929689</v>
      </c>
      <c r="H67" s="296">
        <f t="shared" si="21"/>
        <v>93.057320190330273</v>
      </c>
      <c r="I67" s="296">
        <f t="shared" si="21"/>
        <v>106.70636354132078</v>
      </c>
      <c r="J67" s="296">
        <f t="shared" si="21"/>
        <v>122.35735992530431</v>
      </c>
    </row>
    <row r="68" spans="2:10" x14ac:dyDescent="0.25">
      <c r="B68" s="101" t="s">
        <v>705</v>
      </c>
      <c r="E68" s="295">
        <f>E50</f>
        <v>99175</v>
      </c>
      <c r="F68" s="296">
        <f>F51</f>
        <v>55.580867516708331</v>
      </c>
      <c r="G68" s="296">
        <f t="shared" ref="G68:J68" si="22">G51</f>
        <v>22.698585562484279</v>
      </c>
      <c r="H68" s="296">
        <f t="shared" si="22"/>
        <v>26.027866673468903</v>
      </c>
      <c r="I68" s="296">
        <f t="shared" si="22"/>
        <v>29.845465115304279</v>
      </c>
      <c r="J68" s="296">
        <f t="shared" si="22"/>
        <v>34.223004102630483</v>
      </c>
    </row>
    <row r="69" spans="2:10" x14ac:dyDescent="0.25">
      <c r="B69" s="101" t="s">
        <v>57</v>
      </c>
      <c r="E69" s="295">
        <f>E52</f>
        <v>15135</v>
      </c>
      <c r="F69" s="296">
        <f>F53</f>
        <v>20.823248548136043</v>
      </c>
      <c r="G69" s="296">
        <f t="shared" ref="G69:J69" si="23">G53</f>
        <v>5.2741223608779766</v>
      </c>
      <c r="H69" s="296">
        <f t="shared" si="23"/>
        <v>6.0476963752039667</v>
      </c>
      <c r="I69" s="296">
        <f t="shared" si="23"/>
        <v>6.9347332018604577</v>
      </c>
      <c r="J69" s="296">
        <f t="shared" si="23"/>
        <v>7.9518748292590757</v>
      </c>
    </row>
    <row r="70" spans="2:10" x14ac:dyDescent="0.25">
      <c r="B70" s="101" t="s">
        <v>58</v>
      </c>
      <c r="E70" s="295">
        <f>E54</f>
        <v>228300</v>
      </c>
      <c r="F70" s="296">
        <f>F55</f>
        <v>190.34792300042201</v>
      </c>
      <c r="G70" s="296">
        <f t="shared" ref="G70:J70" si="24">G55</f>
        <v>61.404558374857295</v>
      </c>
      <c r="H70" s="296">
        <f t="shared" si="24"/>
        <v>70.410980196296649</v>
      </c>
      <c r="I70" s="296">
        <f t="shared" si="24"/>
        <v>80.73840547696652</v>
      </c>
      <c r="J70" s="296">
        <f t="shared" si="24"/>
        <v>92.580590424814034</v>
      </c>
    </row>
    <row r="71" spans="2:10" x14ac:dyDescent="0.25">
      <c r="B71" s="101" t="s">
        <v>706</v>
      </c>
      <c r="F71" s="296">
        <f>(SUM(F64:F70)/1000)</f>
        <v>0.37659661614726009</v>
      </c>
      <c r="G71" s="296">
        <f t="shared" ref="G71:J71" si="25">(SUM(G64:G70)/1000)</f>
        <v>0.41110964511538339</v>
      </c>
      <c r="H71" s="296">
        <f t="shared" si="25"/>
        <v>0.47140853784852382</v>
      </c>
      <c r="I71" s="296">
        <f t="shared" si="25"/>
        <v>0.54055168054768565</v>
      </c>
      <c r="J71" s="296">
        <f t="shared" si="25"/>
        <v>0.61983629035759535</v>
      </c>
    </row>
    <row r="73" spans="2:10" x14ac:dyDescent="0.25">
      <c r="B73" s="291" t="s">
        <v>707</v>
      </c>
      <c r="C73" s="292"/>
      <c r="D73" s="292"/>
      <c r="E73" s="292"/>
      <c r="F73" s="292"/>
      <c r="G73" s="292"/>
      <c r="H73" s="292"/>
      <c r="I73" s="292"/>
      <c r="J73" s="292"/>
    </row>
    <row r="74" spans="2:10" x14ac:dyDescent="0.25">
      <c r="C74" s="293">
        <f>C62</f>
        <v>2022</v>
      </c>
      <c r="D74" s="293">
        <f t="shared" ref="D74:J74" si="26">D62</f>
        <v>2023</v>
      </c>
      <c r="E74" s="293">
        <f t="shared" si="26"/>
        <v>2024</v>
      </c>
      <c r="F74" s="294">
        <f t="shared" si="26"/>
        <v>2025</v>
      </c>
      <c r="G74" s="294">
        <f t="shared" si="26"/>
        <v>2026</v>
      </c>
      <c r="H74" s="294">
        <f t="shared" si="26"/>
        <v>2027</v>
      </c>
      <c r="I74" s="294">
        <f t="shared" si="26"/>
        <v>2028</v>
      </c>
      <c r="J74" s="294">
        <f t="shared" si="26"/>
        <v>2029</v>
      </c>
    </row>
    <row r="75" spans="2:10" x14ac:dyDescent="0.25">
      <c r="B75" s="101" t="str">
        <f>'Assumption Table'!L6</f>
        <v>Building</v>
      </c>
    </row>
    <row r="76" spans="2:10" x14ac:dyDescent="0.25">
      <c r="B76" s="101" t="str">
        <f>'Assumption Table'!Q16</f>
        <v>Useful Life</v>
      </c>
      <c r="C76" s="302">
        <f>'Assumption Table'!Q18</f>
        <v>30</v>
      </c>
    </row>
    <row r="77" spans="2:10" x14ac:dyDescent="0.25">
      <c r="D77" s="300"/>
      <c r="E77" s="300"/>
      <c r="F77" s="300"/>
      <c r="G77" s="300"/>
      <c r="H77" s="300"/>
      <c r="I77" s="300"/>
      <c r="J77" s="300"/>
    </row>
    <row r="78" spans="2:10" x14ac:dyDescent="0.25">
      <c r="D78" s="300"/>
      <c r="E78" s="300"/>
      <c r="F78" s="300"/>
      <c r="G78" s="300"/>
      <c r="H78" s="300"/>
      <c r="I78" s="300"/>
      <c r="J78" s="300"/>
    </row>
    <row r="79" spans="2:10" x14ac:dyDescent="0.25">
      <c r="C79" s="101" t="s">
        <v>708</v>
      </c>
      <c r="D79" s="300"/>
      <c r="E79" s="303">
        <f>E64</f>
        <v>475684</v>
      </c>
      <c r="F79" s="303">
        <f>E79/C76</f>
        <v>15856.133333333333</v>
      </c>
      <c r="G79" s="303">
        <f>F79</f>
        <v>15856.133333333333</v>
      </c>
      <c r="H79" s="303">
        <f t="shared" ref="H79:J79" si="27">G79</f>
        <v>15856.133333333333</v>
      </c>
      <c r="I79" s="303">
        <f t="shared" si="27"/>
        <v>15856.133333333333</v>
      </c>
      <c r="J79" s="303">
        <f t="shared" si="27"/>
        <v>15856.133333333333</v>
      </c>
    </row>
    <row r="80" spans="2:10" x14ac:dyDescent="0.25">
      <c r="C80" s="101" t="s">
        <v>709</v>
      </c>
      <c r="D80" s="300"/>
      <c r="E80" s="304"/>
      <c r="F80" s="304"/>
      <c r="G80" s="304"/>
      <c r="H80" s="304"/>
      <c r="I80" s="304"/>
      <c r="J80" s="304"/>
    </row>
    <row r="81" spans="2:10" x14ac:dyDescent="0.25">
      <c r="C81" s="101" cm="1">
        <f t="array" ref="C81:C85">TRANSPOSE(F62:J62)</f>
        <v>2025</v>
      </c>
      <c r="D81" s="304" cm="1">
        <f t="array" ref="D81:D85">TRANSPOSE(F64:J64)</f>
        <v>-281.18469970520783</v>
      </c>
      <c r="E81" s="304"/>
      <c r="F81" s="304"/>
      <c r="G81" s="303">
        <f>D81/C76</f>
        <v>-9.3728233235069283</v>
      </c>
      <c r="H81" s="303">
        <f>G81</f>
        <v>-9.3728233235069283</v>
      </c>
      <c r="I81" s="303">
        <f t="shared" ref="I81:J81" si="28">H81</f>
        <v>-9.3728233235069283</v>
      </c>
      <c r="J81" s="303">
        <f t="shared" si="28"/>
        <v>-9.3728233235069283</v>
      </c>
    </row>
    <row r="82" spans="2:10" x14ac:dyDescent="0.25">
      <c r="C82" s="305">
        <v>2026</v>
      </c>
      <c r="D82" s="304">
        <v>28.527894162772252</v>
      </c>
      <c r="E82" s="304"/>
      <c r="F82" s="304"/>
      <c r="G82" s="304"/>
      <c r="H82" s="303">
        <f>D82/C76</f>
        <v>0.95092980542574179</v>
      </c>
      <c r="I82" s="303">
        <f>H82</f>
        <v>0.95092980542574179</v>
      </c>
      <c r="J82" s="303">
        <f>I82</f>
        <v>0.95092980542574179</v>
      </c>
    </row>
    <row r="83" spans="2:10" x14ac:dyDescent="0.25">
      <c r="C83" s="101">
        <v>2027</v>
      </c>
      <c r="D83" s="304">
        <v>32.712180399940408</v>
      </c>
      <c r="E83" s="304"/>
      <c r="F83" s="304"/>
      <c r="G83" s="304"/>
      <c r="H83" s="306"/>
      <c r="I83" s="303">
        <f>D83/C76</f>
        <v>1.0904060133313469</v>
      </c>
      <c r="J83" s="303">
        <f>I83</f>
        <v>1.0904060133313469</v>
      </c>
    </row>
    <row r="84" spans="2:10" x14ac:dyDescent="0.25">
      <c r="C84" s="101">
        <v>2028</v>
      </c>
      <c r="D84" s="304">
        <v>37.510190566910694</v>
      </c>
      <c r="E84" s="304"/>
      <c r="F84" s="304"/>
      <c r="G84" s="304"/>
      <c r="H84" s="306"/>
      <c r="I84" s="306"/>
      <c r="J84" s="303">
        <f>D84/C76</f>
        <v>1.2503396855636899</v>
      </c>
    </row>
    <row r="85" spans="2:10" x14ac:dyDescent="0.25">
      <c r="C85" s="101">
        <v>2029</v>
      </c>
      <c r="D85" s="304">
        <v>43.011941703785617</v>
      </c>
      <c r="E85" s="300"/>
      <c r="F85" s="300"/>
      <c r="G85" s="300"/>
      <c r="H85" s="300"/>
      <c r="I85" s="300"/>
      <c r="J85" s="300"/>
    </row>
    <row r="86" spans="2:10" x14ac:dyDescent="0.25">
      <c r="B86" s="126" t="s">
        <v>710</v>
      </c>
      <c r="D86" s="300"/>
      <c r="E86" s="307"/>
      <c r="F86" s="307">
        <f t="shared" ref="F86:J86" si="29">SUM(F79:F85)</f>
        <v>15856.133333333333</v>
      </c>
      <c r="G86" s="307">
        <f t="shared" si="29"/>
        <v>15846.760510009826</v>
      </c>
      <c r="H86" s="307">
        <f t="shared" si="29"/>
        <v>15847.711439815252</v>
      </c>
      <c r="I86" s="307">
        <f t="shared" si="29"/>
        <v>15848.801845828582</v>
      </c>
      <c r="J86" s="307">
        <f t="shared" si="29"/>
        <v>15850.052185514147</v>
      </c>
    </row>
    <row r="87" spans="2:10" x14ac:dyDescent="0.25">
      <c r="D87" s="300"/>
      <c r="E87" s="300"/>
      <c r="F87" s="300"/>
      <c r="G87" s="300"/>
      <c r="H87" s="300"/>
      <c r="I87" s="300"/>
      <c r="J87" s="300"/>
    </row>
    <row r="88" spans="2:10" x14ac:dyDescent="0.25">
      <c r="B88" s="101" t="str">
        <f>'Assumption Table'!L19</f>
        <v>Leasehold improvements</v>
      </c>
      <c r="D88" s="300"/>
      <c r="E88" s="300"/>
      <c r="F88" s="300"/>
      <c r="G88" s="300"/>
      <c r="H88" s="300"/>
      <c r="I88" s="300"/>
      <c r="J88" s="300"/>
    </row>
    <row r="89" spans="2:10" x14ac:dyDescent="0.25">
      <c r="B89" s="101" t="str">
        <f>'Assumption Table'!Q16</f>
        <v>Useful Life</v>
      </c>
      <c r="C89" s="308">
        <f>'Assumption Table'!Q19</f>
        <v>15</v>
      </c>
      <c r="D89" s="300"/>
      <c r="E89" s="300"/>
      <c r="F89" s="300"/>
      <c r="G89" s="300"/>
      <c r="H89" s="300"/>
      <c r="I89" s="300"/>
      <c r="J89" s="300"/>
    </row>
    <row r="90" spans="2:10" x14ac:dyDescent="0.25">
      <c r="C90" s="101" t="s">
        <v>711</v>
      </c>
      <c r="D90" s="300"/>
      <c r="E90" s="309">
        <f>E65</f>
        <v>1026593</v>
      </c>
      <c r="F90" s="309">
        <f>E90/C89</f>
        <v>68439.53333333334</v>
      </c>
      <c r="G90" s="309">
        <f>F90</f>
        <v>68439.53333333334</v>
      </c>
      <c r="H90" s="309">
        <f t="shared" ref="H90:J90" si="30">G90</f>
        <v>68439.53333333334</v>
      </c>
      <c r="I90" s="309">
        <f t="shared" si="30"/>
        <v>68439.53333333334</v>
      </c>
      <c r="J90" s="309">
        <f t="shared" si="30"/>
        <v>68439.53333333334</v>
      </c>
    </row>
    <row r="91" spans="2:10" x14ac:dyDescent="0.25">
      <c r="C91" s="101" t="s">
        <v>712</v>
      </c>
      <c r="D91" s="300"/>
      <c r="E91" s="300"/>
      <c r="F91" s="300"/>
      <c r="G91" s="300"/>
      <c r="H91" s="300"/>
      <c r="I91" s="300"/>
      <c r="J91" s="300"/>
    </row>
    <row r="92" spans="2:10" x14ac:dyDescent="0.25">
      <c r="C92" s="101" cm="1">
        <f t="array" ref="C92:C96">TRANSPOSE(F74:J74)</f>
        <v>2025</v>
      </c>
      <c r="D92" s="300" cm="1">
        <f t="array" ref="D92:D96">TRANSPOSE(F65:J65)</f>
        <v>224.78005259648128</v>
      </c>
      <c r="E92" s="300"/>
      <c r="F92" s="300"/>
      <c r="G92" s="309">
        <f>D92/C89</f>
        <v>14.985336839765418</v>
      </c>
      <c r="H92" s="309">
        <f>G92</f>
        <v>14.985336839765418</v>
      </c>
      <c r="I92" s="309">
        <f t="shared" ref="I92:J92" si="31">H92</f>
        <v>14.985336839765418</v>
      </c>
      <c r="J92" s="309">
        <f t="shared" si="31"/>
        <v>14.985336839765418</v>
      </c>
    </row>
    <row r="93" spans="2:10" x14ac:dyDescent="0.25">
      <c r="C93" s="101">
        <v>2026</v>
      </c>
      <c r="D93" s="300">
        <v>183.54327212751167</v>
      </c>
      <c r="E93" s="300"/>
      <c r="F93" s="300"/>
      <c r="G93" s="300"/>
      <c r="H93" s="309">
        <f>D93/C89</f>
        <v>12.236218141834112</v>
      </c>
      <c r="I93" s="309">
        <f>H93</f>
        <v>12.236218141834112</v>
      </c>
      <c r="J93" s="309">
        <f>I93</f>
        <v>12.236218141834112</v>
      </c>
    </row>
    <row r="94" spans="2:10" x14ac:dyDescent="0.25">
      <c r="C94" s="101">
        <v>2027</v>
      </c>
      <c r="D94" s="300">
        <v>210.46420723425248</v>
      </c>
      <c r="E94" s="300"/>
      <c r="F94" s="300"/>
      <c r="G94" s="300"/>
      <c r="H94" s="300"/>
      <c r="I94" s="309">
        <f>D94/C89</f>
        <v>14.030947148950165</v>
      </c>
      <c r="J94" s="309">
        <f>I94</f>
        <v>14.030947148950165</v>
      </c>
    </row>
    <row r="95" spans="2:10" x14ac:dyDescent="0.25">
      <c r="C95" s="101">
        <v>2028</v>
      </c>
      <c r="D95" s="300">
        <v>241.33373026045575</v>
      </c>
      <c r="E95" s="300"/>
      <c r="F95" s="300"/>
      <c r="G95" s="300"/>
      <c r="H95" s="300"/>
      <c r="I95" s="300"/>
      <c r="J95" s="309">
        <f>D95/C89</f>
        <v>16.08891535069705</v>
      </c>
    </row>
    <row r="96" spans="2:10" x14ac:dyDescent="0.25">
      <c r="C96" s="101">
        <v>2029</v>
      </c>
      <c r="D96" s="300">
        <v>276.73099443746031</v>
      </c>
      <c r="E96" s="300"/>
      <c r="F96" s="300"/>
      <c r="G96" s="300"/>
      <c r="H96" s="300"/>
      <c r="I96" s="300"/>
      <c r="J96" s="300"/>
    </row>
    <row r="97" spans="2:10" x14ac:dyDescent="0.25">
      <c r="B97" s="126" t="s">
        <v>713</v>
      </c>
      <c r="D97" s="300"/>
      <c r="E97" s="300"/>
      <c r="F97" s="307">
        <f>SUM(F90:F96)</f>
        <v>68439.53333333334</v>
      </c>
      <c r="G97" s="307">
        <f t="shared" ref="G97:J97" si="32">SUM(G90:G96)</f>
        <v>68454.5186701731</v>
      </c>
      <c r="H97" s="307">
        <f t="shared" si="32"/>
        <v>68466.754888314928</v>
      </c>
      <c r="I97" s="307">
        <f t="shared" si="32"/>
        <v>68480.785835463874</v>
      </c>
      <c r="J97" s="307">
        <f t="shared" si="32"/>
        <v>68496.874750814575</v>
      </c>
    </row>
    <row r="98" spans="2:10" x14ac:dyDescent="0.25">
      <c r="D98" s="300"/>
      <c r="E98" s="300"/>
      <c r="F98" s="300"/>
      <c r="G98" s="300"/>
      <c r="H98" s="300"/>
      <c r="I98" s="300"/>
      <c r="J98" s="300"/>
    </row>
    <row r="99" spans="2:10" x14ac:dyDescent="0.25">
      <c r="B99" s="193" t="str">
        <f>'Assumption Table'!L20</f>
        <v>Furniture and fixtures</v>
      </c>
      <c r="D99" s="300"/>
      <c r="E99" s="300"/>
      <c r="F99" s="300"/>
      <c r="G99" s="300"/>
      <c r="H99" s="300"/>
      <c r="I99" s="300"/>
      <c r="J99" s="300"/>
    </row>
    <row r="100" spans="2:10" x14ac:dyDescent="0.25">
      <c r="B100" s="193" t="str">
        <f>B89</f>
        <v>Useful Life</v>
      </c>
      <c r="C100" s="308">
        <f>'Assumption Table'!Q20</f>
        <v>5</v>
      </c>
      <c r="D100" s="300"/>
      <c r="E100" s="300"/>
      <c r="F100" s="300"/>
      <c r="G100" s="300"/>
      <c r="H100" s="300"/>
      <c r="I100" s="300"/>
      <c r="J100" s="300"/>
    </row>
    <row r="101" spans="2:10" x14ac:dyDescent="0.25">
      <c r="C101" s="101" t="s">
        <v>714</v>
      </c>
      <c r="D101" s="300"/>
      <c r="E101" s="309">
        <f>E66</f>
        <v>134987</v>
      </c>
      <c r="F101" s="309">
        <f>E101/C100</f>
        <v>26997.4</v>
      </c>
      <c r="G101" s="309">
        <f>F101</f>
        <v>26997.4</v>
      </c>
      <c r="H101" s="309">
        <f t="shared" ref="H101:J101" si="33">G101</f>
        <v>26997.4</v>
      </c>
      <c r="I101" s="309">
        <f t="shared" si="33"/>
        <v>26997.4</v>
      </c>
      <c r="J101" s="309">
        <f t="shared" si="33"/>
        <v>26997.4</v>
      </c>
    </row>
    <row r="102" spans="2:10" x14ac:dyDescent="0.25">
      <c r="C102" s="101" t="s">
        <v>715</v>
      </c>
      <c r="D102" s="300"/>
      <c r="E102" s="300"/>
      <c r="F102" s="300"/>
      <c r="G102" s="300"/>
      <c r="H102" s="300"/>
      <c r="I102" s="300"/>
      <c r="J102" s="300"/>
    </row>
    <row r="103" spans="2:10" x14ac:dyDescent="0.25">
      <c r="C103" s="101" cm="1">
        <f t="array" ref="C103:C107">TRANSPOSE(F74:J74)</f>
        <v>2025</v>
      </c>
      <c r="D103" s="300" cm="1">
        <f t="array" ref="D103:D107">TRANSPOSE(F66:J66)</f>
        <v>59.370234174725134</v>
      </c>
      <c r="E103" s="300"/>
      <c r="F103" s="300"/>
      <c r="G103" s="309">
        <f>D103/C100</f>
        <v>11.874046834945027</v>
      </c>
      <c r="H103" s="309">
        <f>G103</f>
        <v>11.874046834945027</v>
      </c>
      <c r="I103" s="309">
        <f t="shared" ref="I103:J103" si="34">H103</f>
        <v>11.874046834945027</v>
      </c>
      <c r="J103" s="309">
        <f t="shared" si="34"/>
        <v>11.874046834945027</v>
      </c>
    </row>
    <row r="104" spans="2:10" x14ac:dyDescent="0.25">
      <c r="C104" s="101">
        <v>2026</v>
      </c>
      <c r="D104" s="300">
        <v>28.507056826950254</v>
      </c>
      <c r="E104" s="300"/>
      <c r="F104" s="300"/>
      <c r="G104" s="300"/>
      <c r="H104" s="309">
        <f>D104/C100</f>
        <v>5.7014113653900509</v>
      </c>
      <c r="I104" s="309">
        <f>H104</f>
        <v>5.7014113653900509</v>
      </c>
      <c r="J104" s="309">
        <f>I104</f>
        <v>5.7014113653900509</v>
      </c>
    </row>
    <row r="105" spans="2:10" x14ac:dyDescent="0.25">
      <c r="C105" s="101">
        <v>2027</v>
      </c>
      <c r="D105" s="300">
        <v>32.688286779031188</v>
      </c>
      <c r="E105" s="300"/>
      <c r="F105" s="300"/>
      <c r="G105" s="300"/>
      <c r="H105" s="300"/>
      <c r="I105" s="309">
        <f>D105/C100</f>
        <v>6.5376573558062372</v>
      </c>
      <c r="J105" s="309">
        <f>I105</f>
        <v>6.5376573558062372</v>
      </c>
    </row>
    <row r="106" spans="2:10" x14ac:dyDescent="0.25">
      <c r="C106" s="101">
        <v>2028</v>
      </c>
      <c r="D106" s="300">
        <v>37.48279238486721</v>
      </c>
      <c r="E106" s="300"/>
      <c r="F106" s="300"/>
      <c r="G106" s="300"/>
      <c r="H106" s="300"/>
      <c r="I106" s="300"/>
      <c r="J106" s="309">
        <f>D106/C100</f>
        <v>7.4965584769734424</v>
      </c>
    </row>
    <row r="107" spans="2:10" x14ac:dyDescent="0.25">
      <c r="C107" s="101">
        <v>2029</v>
      </c>
      <c r="D107" s="300">
        <v>42.980524934341432</v>
      </c>
      <c r="E107" s="300"/>
      <c r="F107" s="300"/>
      <c r="G107" s="300"/>
      <c r="H107" s="300"/>
      <c r="I107" s="300"/>
      <c r="J107" s="300"/>
    </row>
    <row r="108" spans="2:10" x14ac:dyDescent="0.25">
      <c r="B108" s="126" t="s">
        <v>716</v>
      </c>
      <c r="D108" s="300"/>
      <c r="E108" s="300"/>
      <c r="F108" s="307">
        <f>SUM(F101:F107)</f>
        <v>26997.4</v>
      </c>
      <c r="G108" s="307">
        <f t="shared" ref="G108:J108" si="35">SUM(G101:G107)</f>
        <v>27009.274046834948</v>
      </c>
      <c r="H108" s="307">
        <f t="shared" si="35"/>
        <v>27014.975458200337</v>
      </c>
      <c r="I108" s="307">
        <f t="shared" si="35"/>
        <v>27021.513115556143</v>
      </c>
      <c r="J108" s="307">
        <f t="shared" si="35"/>
        <v>27029.009674033117</v>
      </c>
    </row>
    <row r="109" spans="2:10" x14ac:dyDescent="0.25">
      <c r="D109" s="300"/>
      <c r="E109" s="300"/>
      <c r="F109" s="300"/>
      <c r="G109" s="300"/>
      <c r="H109" s="300"/>
      <c r="I109" s="300"/>
      <c r="J109" s="300"/>
    </row>
    <row r="110" spans="2:10" x14ac:dyDescent="0.25">
      <c r="B110" s="101" t="str">
        <f>'Assumption Table'!L21</f>
        <v>Information technology</v>
      </c>
      <c r="D110" s="300"/>
      <c r="E110" s="300"/>
      <c r="F110" s="300"/>
      <c r="G110" s="300"/>
      <c r="H110" s="300"/>
      <c r="I110" s="300"/>
      <c r="J110" s="300"/>
    </row>
    <row r="111" spans="2:10" x14ac:dyDescent="0.25">
      <c r="B111" s="101" t="str">
        <f>B100</f>
        <v>Useful Life</v>
      </c>
      <c r="C111" s="308">
        <f>'Assumption Table'!Q21</f>
        <v>5</v>
      </c>
      <c r="D111" s="300"/>
      <c r="E111" s="300"/>
      <c r="F111" s="300"/>
      <c r="G111" s="300"/>
      <c r="H111" s="300"/>
      <c r="I111" s="300"/>
      <c r="J111" s="300"/>
    </row>
    <row r="112" spans="2:10" x14ac:dyDescent="0.25">
      <c r="C112" s="101" t="s">
        <v>717</v>
      </c>
      <c r="D112" s="300"/>
      <c r="E112" s="309">
        <f>E67</f>
        <v>446419</v>
      </c>
      <c r="F112" s="309">
        <f>E112/C111</f>
        <v>89283.8</v>
      </c>
      <c r="G112" s="309">
        <f>F112</f>
        <v>89283.8</v>
      </c>
      <c r="H112" s="309">
        <f t="shared" ref="H112:J112" si="36">G112</f>
        <v>89283.8</v>
      </c>
      <c r="I112" s="309">
        <f t="shared" si="36"/>
        <v>89283.8</v>
      </c>
      <c r="J112" s="309">
        <f t="shared" si="36"/>
        <v>89283.8</v>
      </c>
    </row>
    <row r="113" spans="2:10" x14ac:dyDescent="0.25">
      <c r="C113" s="101" t="s">
        <v>718</v>
      </c>
      <c r="D113" s="300"/>
      <c r="E113" s="300"/>
      <c r="F113" s="300"/>
      <c r="G113" s="300"/>
      <c r="H113" s="300"/>
      <c r="I113" s="300"/>
      <c r="J113" s="300"/>
    </row>
    <row r="114" spans="2:10" x14ac:dyDescent="0.25">
      <c r="C114" s="101" cm="1">
        <f t="array" ref="C114:C118">TRANSPOSE(F74:J74)</f>
        <v>2025</v>
      </c>
      <c r="D114" s="300" cm="1">
        <f t="array" ref="D114:D118">TRANSPOSE(F67:J67)</f>
        <v>106.8789900159951</v>
      </c>
      <c r="E114" s="300"/>
      <c r="F114" s="300"/>
      <c r="G114" s="309">
        <f>D114/C111</f>
        <v>21.375798003199019</v>
      </c>
      <c r="H114" s="309">
        <f>G114</f>
        <v>21.375798003199019</v>
      </c>
      <c r="I114" s="309">
        <f t="shared" ref="I114:J114" si="37">H114</f>
        <v>21.375798003199019</v>
      </c>
      <c r="J114" s="309">
        <f t="shared" si="37"/>
        <v>21.375798003199019</v>
      </c>
    </row>
    <row r="115" spans="2:10" x14ac:dyDescent="0.25">
      <c r="C115" s="101">
        <v>2026</v>
      </c>
      <c r="D115" s="300">
        <v>81.154155699929689</v>
      </c>
      <c r="E115" s="300"/>
      <c r="F115" s="300"/>
      <c r="G115" s="300"/>
      <c r="H115" s="309">
        <f>D115/C111</f>
        <v>16.230831139985938</v>
      </c>
      <c r="I115" s="309">
        <f>H115</f>
        <v>16.230831139985938</v>
      </c>
      <c r="J115" s="309">
        <f>I115</f>
        <v>16.230831139985938</v>
      </c>
    </row>
    <row r="116" spans="2:10" x14ac:dyDescent="0.25">
      <c r="C116" s="101">
        <v>2027</v>
      </c>
      <c r="D116" s="300">
        <v>93.057320190330273</v>
      </c>
      <c r="E116" s="300"/>
      <c r="F116" s="300"/>
      <c r="G116" s="300"/>
      <c r="H116" s="300"/>
      <c r="I116" s="309">
        <f>D116/C111</f>
        <v>18.611464038066053</v>
      </c>
      <c r="J116" s="309">
        <f>I116</f>
        <v>18.611464038066053</v>
      </c>
    </row>
    <row r="117" spans="2:10" x14ac:dyDescent="0.25">
      <c r="C117" s="101">
        <v>2028</v>
      </c>
      <c r="D117" s="300">
        <v>106.70636354132078</v>
      </c>
      <c r="E117" s="300"/>
      <c r="F117" s="300"/>
      <c r="G117" s="300"/>
      <c r="H117" s="300"/>
      <c r="I117" s="300"/>
      <c r="J117" s="309">
        <f>D117/C111</f>
        <v>21.341272708264157</v>
      </c>
    </row>
    <row r="118" spans="2:10" x14ac:dyDescent="0.25">
      <c r="C118" s="101">
        <v>2029</v>
      </c>
      <c r="D118" s="300">
        <v>122.35735992530431</v>
      </c>
      <c r="E118" s="300"/>
      <c r="F118" s="300"/>
      <c r="G118" s="300"/>
      <c r="H118" s="300"/>
      <c r="I118" s="300"/>
      <c r="J118" s="300"/>
    </row>
    <row r="119" spans="2:10" x14ac:dyDescent="0.25">
      <c r="B119" s="126" t="s">
        <v>719</v>
      </c>
      <c r="D119" s="300"/>
      <c r="E119" s="300"/>
      <c r="F119" s="307">
        <f>SUM(F112:F118)</f>
        <v>89283.8</v>
      </c>
      <c r="G119" s="307">
        <f t="shared" ref="G119:J119" si="38">SUM(G112:G118)</f>
        <v>89305.175798003198</v>
      </c>
      <c r="H119" s="307">
        <f t="shared" si="38"/>
        <v>89321.406629143181</v>
      </c>
      <c r="I119" s="307">
        <f t="shared" si="38"/>
        <v>89340.01809318125</v>
      </c>
      <c r="J119" s="307">
        <f t="shared" si="38"/>
        <v>89361.359365889512</v>
      </c>
    </row>
    <row r="120" spans="2:10" x14ac:dyDescent="0.25">
      <c r="D120" s="300"/>
      <c r="E120" s="300"/>
      <c r="F120" s="300"/>
      <c r="G120" s="300"/>
      <c r="H120" s="300"/>
      <c r="I120" s="300"/>
      <c r="J120" s="300"/>
    </row>
    <row r="121" spans="2:10" x14ac:dyDescent="0.25">
      <c r="B121" s="101" t="str">
        <f>'Assumption Table'!L22</f>
        <v>Corporate aircraft</v>
      </c>
      <c r="D121" s="300"/>
      <c r="E121" s="300"/>
      <c r="F121" s="300"/>
      <c r="G121" s="300"/>
      <c r="H121" s="300"/>
      <c r="I121" s="300"/>
      <c r="J121" s="300"/>
    </row>
    <row r="122" spans="2:10" x14ac:dyDescent="0.25">
      <c r="B122" s="101" t="str">
        <f>B111</f>
        <v>Useful Life</v>
      </c>
      <c r="C122" s="308">
        <f>'Assumption Table'!Q22</f>
        <v>10</v>
      </c>
      <c r="D122" s="300"/>
      <c r="E122" s="300"/>
      <c r="F122" s="300"/>
      <c r="G122" s="300"/>
      <c r="H122" s="300"/>
      <c r="I122" s="300"/>
      <c r="J122" s="300"/>
    </row>
    <row r="123" spans="2:10" x14ac:dyDescent="0.25">
      <c r="C123" s="101" t="s">
        <v>720</v>
      </c>
      <c r="D123" s="300"/>
      <c r="E123" s="309">
        <f>E68</f>
        <v>99175</v>
      </c>
      <c r="F123" s="309">
        <f>E123/C122</f>
        <v>9917.5</v>
      </c>
      <c r="G123" s="309">
        <f>F123</f>
        <v>9917.5</v>
      </c>
      <c r="H123" s="309">
        <f t="shared" ref="H123:J123" si="39">G123</f>
        <v>9917.5</v>
      </c>
      <c r="I123" s="309">
        <f t="shared" si="39"/>
        <v>9917.5</v>
      </c>
      <c r="J123" s="309">
        <f t="shared" si="39"/>
        <v>9917.5</v>
      </c>
    </row>
    <row r="124" spans="2:10" x14ac:dyDescent="0.25">
      <c r="C124" s="101" t="s">
        <v>721</v>
      </c>
      <c r="D124" s="300"/>
      <c r="E124" s="300"/>
      <c r="F124" s="300"/>
      <c r="G124" s="300"/>
      <c r="H124" s="300"/>
      <c r="I124" s="300"/>
      <c r="J124" s="300"/>
    </row>
    <row r="125" spans="2:10" x14ac:dyDescent="0.25">
      <c r="C125" s="101" cm="1">
        <f t="array" ref="C125:C129">TRANSPOSE(F74:J74)</f>
        <v>2025</v>
      </c>
      <c r="D125" s="300" cm="1">
        <f t="array" ref="D125:D129">TRANSPOSE(F68:J68)</f>
        <v>55.580867516708331</v>
      </c>
      <c r="E125" s="300"/>
      <c r="F125" s="300"/>
      <c r="G125" s="309">
        <f>D125/C122</f>
        <v>5.5580867516708334</v>
      </c>
      <c r="H125" s="309">
        <f>G125</f>
        <v>5.5580867516708334</v>
      </c>
      <c r="I125" s="309">
        <f t="shared" ref="I125:J125" si="40">H125</f>
        <v>5.5580867516708334</v>
      </c>
      <c r="J125" s="309">
        <f t="shared" si="40"/>
        <v>5.5580867516708334</v>
      </c>
    </row>
    <row r="126" spans="2:10" x14ac:dyDescent="0.25">
      <c r="C126" s="101">
        <v>2026</v>
      </c>
      <c r="D126" s="300">
        <v>22.698585562484279</v>
      </c>
      <c r="E126" s="300"/>
      <c r="F126" s="300"/>
      <c r="G126" s="300"/>
      <c r="H126" s="309">
        <f>D126/C122</f>
        <v>2.2698585562484279</v>
      </c>
      <c r="I126" s="309">
        <f>H126</f>
        <v>2.2698585562484279</v>
      </c>
      <c r="J126" s="309">
        <f>I126</f>
        <v>2.2698585562484279</v>
      </c>
    </row>
    <row r="127" spans="2:10" x14ac:dyDescent="0.25">
      <c r="C127" s="101">
        <v>2027</v>
      </c>
      <c r="D127" s="300">
        <v>26.027866673468903</v>
      </c>
      <c r="E127" s="300"/>
      <c r="F127" s="300"/>
      <c r="G127" s="300"/>
      <c r="H127" s="300"/>
      <c r="I127" s="309">
        <f>D127/C122</f>
        <v>2.6027866673468902</v>
      </c>
      <c r="J127" s="309">
        <f>I127</f>
        <v>2.6027866673468902</v>
      </c>
    </row>
    <row r="128" spans="2:10" x14ac:dyDescent="0.25">
      <c r="C128" s="101">
        <v>2028</v>
      </c>
      <c r="D128" s="300">
        <v>29.845465115304279</v>
      </c>
      <c r="E128" s="300"/>
      <c r="F128" s="300"/>
      <c r="G128" s="300"/>
      <c r="H128" s="300"/>
      <c r="I128" s="300"/>
      <c r="J128" s="309">
        <f>D128/C122</f>
        <v>2.9845465115304277</v>
      </c>
    </row>
    <row r="129" spans="2:11" x14ac:dyDescent="0.25">
      <c r="C129" s="101">
        <v>2029</v>
      </c>
      <c r="D129" s="300">
        <v>34.223004102630483</v>
      </c>
      <c r="E129" s="300"/>
      <c r="F129" s="300"/>
      <c r="G129" s="300"/>
      <c r="H129" s="300"/>
      <c r="I129" s="300"/>
      <c r="J129" s="300"/>
    </row>
    <row r="130" spans="2:11" x14ac:dyDescent="0.25">
      <c r="B130" s="126" t="s">
        <v>722</v>
      </c>
      <c r="F130" s="307">
        <f>SUM(F123:F129)</f>
        <v>9917.5</v>
      </c>
      <c r="G130" s="307">
        <f t="shared" ref="G130:J130" si="41">SUM(G123:G129)</f>
        <v>9923.058086751671</v>
      </c>
      <c r="H130" s="307">
        <f t="shared" si="41"/>
        <v>9925.3279453079194</v>
      </c>
      <c r="I130" s="307">
        <f t="shared" si="41"/>
        <v>9927.9307319752661</v>
      </c>
      <c r="J130" s="307">
        <f t="shared" si="41"/>
        <v>9930.9152784867965</v>
      </c>
    </row>
    <row r="132" spans="2:11" x14ac:dyDescent="0.25">
      <c r="B132" s="101" t="str">
        <f>'Assumption Table'!L23</f>
        <v>Machinery and Equipment</v>
      </c>
    </row>
    <row r="133" spans="2:11" x14ac:dyDescent="0.25">
      <c r="B133" s="101" t="str">
        <f>B122</f>
        <v>Useful Life</v>
      </c>
      <c r="C133" s="308">
        <f>'Assumption Table'!Q23</f>
        <v>5</v>
      </c>
    </row>
    <row r="134" spans="2:11" x14ac:dyDescent="0.25">
      <c r="C134" s="101" t="s">
        <v>723</v>
      </c>
      <c r="E134" s="309">
        <f>E69</f>
        <v>15135</v>
      </c>
      <c r="F134" s="309">
        <f>E134/C133</f>
        <v>3027</v>
      </c>
      <c r="G134" s="309">
        <f>F134</f>
        <v>3027</v>
      </c>
      <c r="H134" s="309">
        <f t="shared" ref="H134:J134" si="42">G134</f>
        <v>3027</v>
      </c>
      <c r="I134" s="309">
        <f t="shared" si="42"/>
        <v>3027</v>
      </c>
      <c r="J134" s="309">
        <f t="shared" si="42"/>
        <v>3027</v>
      </c>
    </row>
    <row r="135" spans="2:11" x14ac:dyDescent="0.25">
      <c r="C135" s="101" t="s">
        <v>724</v>
      </c>
    </row>
    <row r="136" spans="2:11" x14ac:dyDescent="0.25">
      <c r="C136" s="101" cm="1">
        <f t="array" ref="C136:C140">TRANSPOSE(F74:J74)</f>
        <v>2025</v>
      </c>
      <c r="D136" s="300" cm="1">
        <f t="array" ref="D136:D140">TRANSPOSE(F69:J69)</f>
        <v>20.823248548136043</v>
      </c>
      <c r="E136" s="300"/>
      <c r="F136" s="300"/>
      <c r="G136" s="309">
        <f>D136/C133</f>
        <v>4.1646497096272084</v>
      </c>
      <c r="H136" s="309">
        <f>G136</f>
        <v>4.1646497096272084</v>
      </c>
      <c r="I136" s="309">
        <f t="shared" ref="I136:J136" si="43">H136</f>
        <v>4.1646497096272084</v>
      </c>
      <c r="J136" s="309">
        <f t="shared" si="43"/>
        <v>4.1646497096272084</v>
      </c>
      <c r="K136" s="300"/>
    </row>
    <row r="137" spans="2:11" x14ac:dyDescent="0.25">
      <c r="C137" s="101">
        <v>2026</v>
      </c>
      <c r="D137" s="300">
        <v>5.2741223608779766</v>
      </c>
      <c r="E137" s="300"/>
      <c r="F137" s="300"/>
      <c r="G137" s="300"/>
      <c r="H137" s="309">
        <f>D137/C133</f>
        <v>1.0548244721755953</v>
      </c>
      <c r="I137" s="309">
        <f>H137</f>
        <v>1.0548244721755953</v>
      </c>
      <c r="J137" s="309">
        <f>I137</f>
        <v>1.0548244721755953</v>
      </c>
      <c r="K137" s="300"/>
    </row>
    <row r="138" spans="2:11" x14ac:dyDescent="0.25">
      <c r="C138" s="101">
        <v>2027</v>
      </c>
      <c r="D138" s="300">
        <v>6.0476963752039667</v>
      </c>
      <c r="E138" s="300"/>
      <c r="F138" s="300"/>
      <c r="G138" s="300"/>
      <c r="H138" s="300"/>
      <c r="I138" s="309">
        <f>D138/C133</f>
        <v>1.2095392750407934</v>
      </c>
      <c r="J138" s="309">
        <f>I138</f>
        <v>1.2095392750407934</v>
      </c>
      <c r="K138" s="300"/>
    </row>
    <row r="139" spans="2:11" x14ac:dyDescent="0.25">
      <c r="C139" s="101">
        <v>2028</v>
      </c>
      <c r="D139" s="300">
        <v>6.9347332018604577</v>
      </c>
      <c r="E139" s="300"/>
      <c r="F139" s="300"/>
      <c r="G139" s="300"/>
      <c r="H139" s="300"/>
      <c r="I139" s="300"/>
      <c r="J139" s="309">
        <f>D139/C133</f>
        <v>1.3869466403720916</v>
      </c>
      <c r="K139" s="300"/>
    </row>
    <row r="140" spans="2:11" x14ac:dyDescent="0.25">
      <c r="C140" s="101">
        <v>2029</v>
      </c>
      <c r="D140" s="300">
        <v>7.9518748292590757</v>
      </c>
      <c r="E140" s="300"/>
      <c r="F140" s="300"/>
      <c r="G140" s="300"/>
      <c r="H140" s="300"/>
      <c r="I140" s="300"/>
      <c r="J140" s="300"/>
      <c r="K140" s="300"/>
    </row>
    <row r="141" spans="2:11" x14ac:dyDescent="0.25">
      <c r="B141" s="126" t="s">
        <v>725</v>
      </c>
      <c r="D141" s="300"/>
      <c r="E141" s="300"/>
      <c r="F141" s="307">
        <f>SUM(F134:F140)</f>
        <v>3027</v>
      </c>
      <c r="G141" s="307">
        <f t="shared" ref="G141:J141" si="44">SUM(G134:G140)</f>
        <v>3031.1646497096272</v>
      </c>
      <c r="H141" s="307">
        <f t="shared" si="44"/>
        <v>3032.2194741818025</v>
      </c>
      <c r="I141" s="307">
        <f t="shared" si="44"/>
        <v>3033.4290134568432</v>
      </c>
      <c r="J141" s="307">
        <f t="shared" si="44"/>
        <v>3034.8159600972153</v>
      </c>
      <c r="K141" s="300"/>
    </row>
    <row r="142" spans="2:11" x14ac:dyDescent="0.25">
      <c r="D142" s="300"/>
      <c r="E142" s="300"/>
      <c r="F142" s="300"/>
      <c r="G142" s="300"/>
      <c r="H142" s="300"/>
      <c r="I142" s="300"/>
      <c r="J142" s="300"/>
      <c r="K142" s="300"/>
    </row>
    <row r="143" spans="2:11" ht="16.5" thickBot="1" x14ac:dyDescent="0.3">
      <c r="B143" s="271" t="s">
        <v>726</v>
      </c>
      <c r="C143" s="310"/>
      <c r="D143" s="311"/>
      <c r="E143" s="311"/>
      <c r="F143" s="311">
        <f>F141+F130+F119+F108+F97+F86</f>
        <v>213521.36666666667</v>
      </c>
      <c r="G143" s="311">
        <f>G141+G130+G119+G108+G97+G86</f>
        <v>213569.9517614824</v>
      </c>
      <c r="H143" s="311">
        <f t="shared" ref="H143:J143" si="45">H141+H130+H119+H108+H97+H86</f>
        <v>213608.39583496345</v>
      </c>
      <c r="I143" s="311">
        <f t="shared" si="45"/>
        <v>213652.47863546197</v>
      </c>
      <c r="J143" s="311">
        <f t="shared" si="45"/>
        <v>213703.02721483537</v>
      </c>
      <c r="K143" s="300"/>
    </row>
    <row r="144" spans="2:11" ht="16.5" thickTop="1" x14ac:dyDescent="0.25">
      <c r="D144" s="300"/>
      <c r="E144" s="300"/>
      <c r="F144" s="300"/>
      <c r="G144" s="300"/>
      <c r="H144" s="300"/>
      <c r="I144" s="300"/>
      <c r="J144" s="300"/>
      <c r="K144" s="300"/>
    </row>
    <row r="145" spans="1:11" ht="16.5" thickBot="1" x14ac:dyDescent="0.3">
      <c r="A145" s="104"/>
      <c r="B145" s="272" t="s">
        <v>727</v>
      </c>
      <c r="C145" s="312"/>
      <c r="D145" s="313"/>
      <c r="E145" s="313"/>
      <c r="F145" s="313"/>
      <c r="G145" s="313"/>
      <c r="H145" s="313"/>
      <c r="I145" s="313"/>
      <c r="J145" s="313"/>
      <c r="K145" s="300"/>
    </row>
    <row r="146" spans="1:11" ht="16.5" thickTop="1" x14ac:dyDescent="0.25">
      <c r="D146" s="300"/>
      <c r="E146" s="300"/>
      <c r="F146" s="300"/>
      <c r="G146" s="300"/>
      <c r="H146" s="300"/>
      <c r="I146" s="300"/>
      <c r="J146" s="300"/>
      <c r="K146" s="300"/>
    </row>
    <row r="147" spans="1:11" x14ac:dyDescent="0.25">
      <c r="C147" s="293">
        <f>C62</f>
        <v>2022</v>
      </c>
      <c r="D147" s="293">
        <f t="shared" ref="D147:J147" si="46">D62</f>
        <v>2023</v>
      </c>
      <c r="E147" s="293">
        <f t="shared" si="46"/>
        <v>2024</v>
      </c>
      <c r="F147" s="294">
        <f t="shared" si="46"/>
        <v>2025</v>
      </c>
      <c r="G147" s="294">
        <f t="shared" si="46"/>
        <v>2026</v>
      </c>
      <c r="H147" s="294">
        <f t="shared" si="46"/>
        <v>2027</v>
      </c>
      <c r="I147" s="294">
        <f t="shared" si="46"/>
        <v>2028</v>
      </c>
      <c r="J147" s="294">
        <f t="shared" si="46"/>
        <v>2029</v>
      </c>
    </row>
    <row r="149" spans="1:11" x14ac:dyDescent="0.25">
      <c r="B149" s="101" t="s">
        <v>728</v>
      </c>
      <c r="F149" s="142"/>
    </row>
    <row r="150" spans="1:11" x14ac:dyDescent="0.25">
      <c r="B150" s="101" t="s">
        <v>729</v>
      </c>
      <c r="F150" s="300"/>
    </row>
    <row r="151" spans="1:11" x14ac:dyDescent="0.25">
      <c r="B151" s="101" t="s">
        <v>730</v>
      </c>
      <c r="F151" s="300">
        <f>'Assumption Table'!Q28</f>
        <v>14592.733333333332</v>
      </c>
      <c r="G151" s="300">
        <f>F154</f>
        <v>15322.369999999999</v>
      </c>
      <c r="H151" s="300">
        <f t="shared" ref="H151:J151" si="47">G154</f>
        <v>16088.488499999999</v>
      </c>
      <c r="I151" s="300">
        <f t="shared" si="47"/>
        <v>16892.912925000001</v>
      </c>
      <c r="J151" s="300">
        <f t="shared" si="47"/>
        <v>17737.55857125</v>
      </c>
    </row>
    <row r="152" spans="1:11" x14ac:dyDescent="0.25">
      <c r="B152" s="101" t="s">
        <v>731</v>
      </c>
      <c r="F152" s="300">
        <f>F151*'Assumption Table'!$Q$32</f>
        <v>0</v>
      </c>
      <c r="G152" s="300">
        <f>G151*'Assumption Table'!$Q$32</f>
        <v>0</v>
      </c>
      <c r="H152" s="300">
        <f>H151*'Assumption Table'!$Q$32</f>
        <v>0</v>
      </c>
      <c r="I152" s="300">
        <f>I151*'Assumption Table'!$Q$32</f>
        <v>0</v>
      </c>
      <c r="J152" s="300">
        <f>J151*'Assumption Table'!$Q$32</f>
        <v>0</v>
      </c>
    </row>
    <row r="153" spans="1:11" x14ac:dyDescent="0.25">
      <c r="B153" s="101" t="s">
        <v>732</v>
      </c>
      <c r="F153" s="300">
        <f>F151*'Assumption Table'!$Q$30</f>
        <v>729.63666666666666</v>
      </c>
      <c r="G153" s="300">
        <f>G151*'Assumption Table'!$Q$30</f>
        <v>766.11850000000004</v>
      </c>
      <c r="H153" s="300">
        <f>H151*'Assumption Table'!$Q$30</f>
        <v>804.42442500000004</v>
      </c>
      <c r="I153" s="300">
        <f>I151*'Assumption Table'!$Q$30</f>
        <v>844.64564625000003</v>
      </c>
      <c r="J153" s="300">
        <f>J151*'Assumption Table'!$Q$30</f>
        <v>886.87792856250007</v>
      </c>
    </row>
    <row r="154" spans="1:11" x14ac:dyDescent="0.25">
      <c r="B154" s="101" t="s">
        <v>733</v>
      </c>
      <c r="F154" s="300">
        <f>F151-F152+F153</f>
        <v>15322.369999999999</v>
      </c>
      <c r="G154" s="300">
        <f>G151-G152+G153</f>
        <v>16088.488499999999</v>
      </c>
      <c r="H154" s="300">
        <f t="shared" ref="H154:J154" si="48">H151-H152+H153</f>
        <v>16892.912925000001</v>
      </c>
      <c r="I154" s="300">
        <f t="shared" si="48"/>
        <v>17737.55857125</v>
      </c>
      <c r="J154" s="300">
        <f t="shared" si="48"/>
        <v>18624.436499812498</v>
      </c>
    </row>
    <row r="155" spans="1:11" x14ac:dyDescent="0.25">
      <c r="B155" s="101" t="s">
        <v>734</v>
      </c>
      <c r="F155" s="129">
        <f>'Assumption Table'!Q31</f>
        <v>4.5416581074180805E-2</v>
      </c>
      <c r="G155" s="300"/>
      <c r="H155" s="300"/>
      <c r="I155" s="300"/>
      <c r="J155" s="300"/>
    </row>
    <row r="156" spans="1:11" x14ac:dyDescent="0.25">
      <c r="B156" s="314" t="s">
        <v>735</v>
      </c>
      <c r="D156" s="102"/>
      <c r="E156" s="102"/>
      <c r="F156" s="315">
        <f>$F$155*F151</f>
        <v>662.752056527234</v>
      </c>
      <c r="G156" s="315">
        <f>$F$155*G151</f>
        <v>695.88965935359568</v>
      </c>
      <c r="H156" s="315">
        <f t="shared" ref="H156:J156" si="49">$F$155*H151</f>
        <v>730.68414232127554</v>
      </c>
      <c r="I156" s="315">
        <f t="shared" si="49"/>
        <v>767.21834943733927</v>
      </c>
      <c r="J156" s="315">
        <f t="shared" si="49"/>
        <v>805.57926690920624</v>
      </c>
    </row>
    <row r="157" spans="1:11" x14ac:dyDescent="0.25">
      <c r="B157" s="101" t="s">
        <v>736</v>
      </c>
      <c r="F157" s="300">
        <f>F153-F152</f>
        <v>729.63666666666666</v>
      </c>
      <c r="G157" s="300">
        <f t="shared" ref="G157:J157" si="50">G153-G152</f>
        <v>766.11850000000004</v>
      </c>
      <c r="H157" s="300">
        <f t="shared" si="50"/>
        <v>804.42442500000004</v>
      </c>
      <c r="I157" s="300">
        <f t="shared" si="50"/>
        <v>844.64564625000003</v>
      </c>
      <c r="J157" s="300">
        <f t="shared" si="50"/>
        <v>886.87792856250007</v>
      </c>
    </row>
    <row r="158" spans="1:11" x14ac:dyDescent="0.25">
      <c r="F158" s="300"/>
      <c r="G158" s="300"/>
      <c r="H158" s="300"/>
      <c r="I158" s="300"/>
      <c r="J158" s="300"/>
    </row>
    <row r="159" spans="1:11" x14ac:dyDescent="0.25">
      <c r="F159" s="300"/>
      <c r="G159" s="300"/>
      <c r="H159" s="300"/>
      <c r="I159" s="300"/>
      <c r="J159" s="300"/>
    </row>
    <row r="160" spans="1:11" x14ac:dyDescent="0.25">
      <c r="A160" s="104"/>
      <c r="B160" s="291" t="s">
        <v>737</v>
      </c>
      <c r="C160" s="292"/>
      <c r="D160" s="292"/>
      <c r="E160" s="292"/>
      <c r="F160" s="316"/>
      <c r="G160" s="316"/>
      <c r="H160" s="316"/>
      <c r="I160" s="316"/>
      <c r="J160" s="316"/>
    </row>
    <row r="161" spans="2:10" x14ac:dyDescent="0.25">
      <c r="C161" s="293">
        <f>C147</f>
        <v>2022</v>
      </c>
      <c r="D161" s="293">
        <f t="shared" ref="D161:J161" si="51">D147</f>
        <v>2023</v>
      </c>
      <c r="E161" s="293">
        <f t="shared" si="51"/>
        <v>2024</v>
      </c>
      <c r="F161" s="294">
        <f t="shared" si="51"/>
        <v>2025</v>
      </c>
      <c r="G161" s="294">
        <f t="shared" si="51"/>
        <v>2026</v>
      </c>
      <c r="H161" s="294">
        <f t="shared" si="51"/>
        <v>2027</v>
      </c>
      <c r="I161" s="294">
        <f t="shared" si="51"/>
        <v>2028</v>
      </c>
      <c r="J161" s="294">
        <f t="shared" si="51"/>
        <v>2029</v>
      </c>
    </row>
    <row r="162" spans="2:10" x14ac:dyDescent="0.25">
      <c r="B162" s="278" t="s">
        <v>729</v>
      </c>
      <c r="C162" s="317"/>
      <c r="D162" s="317"/>
      <c r="E162" s="317"/>
      <c r="F162" s="300"/>
      <c r="G162" s="300"/>
      <c r="H162" s="300"/>
      <c r="I162" s="300"/>
      <c r="J162" s="300"/>
    </row>
    <row r="163" spans="2:10" x14ac:dyDescent="0.25">
      <c r="B163" s="101" t="str">
        <f>'Data Source Table'!A118</f>
        <v>Accounts Receivable</v>
      </c>
      <c r="C163" s="299">
        <f>'Data Source Table'!E118</f>
        <v>988.9</v>
      </c>
      <c r="D163" s="299">
        <f>'Data Source Table'!F118</f>
        <v>1287.0999999999999</v>
      </c>
      <c r="E163" s="299">
        <f>'Data Source Table'!G118</f>
        <v>1335.3</v>
      </c>
      <c r="F163" s="300">
        <f>('Assumption Table'!$I$39*'The Model'!F18)/1000</f>
        <v>1388.1662015444092</v>
      </c>
      <c r="G163" s="300">
        <f>('Assumption Table'!$I$39*'The Model'!G18)/1000</f>
        <v>1591.7734043362686</v>
      </c>
      <c r="H163" s="300">
        <f>('Assumption Table'!$I$39*'The Model'!H18)/1000</f>
        <v>1825.2443892765505</v>
      </c>
      <c r="I163" s="300">
        <f>('Assumption Table'!$I$39*'The Model'!I18)/1000</f>
        <v>2092.9593819760362</v>
      </c>
      <c r="J163" s="300">
        <f>('Assumption Table'!$I$39*'The Model'!J18)/1000</f>
        <v>2399.9410710900729</v>
      </c>
    </row>
    <row r="164" spans="2:10" x14ac:dyDescent="0.25">
      <c r="B164" s="101" t="str">
        <f>'Data Source Table'!A119</f>
        <v>Other Receivables</v>
      </c>
      <c r="C164" s="299">
        <f>'Data Source Table'!E119</f>
        <v>598</v>
      </c>
      <c r="D164" s="299">
        <f>'Data Source Table'!F119</f>
        <v>555</v>
      </c>
      <c r="E164" s="299">
        <f>'Data Source Table'!G119</f>
        <v>653</v>
      </c>
      <c r="F164" s="300">
        <f>('Assumption Table'!$I$40*'The Model'!F18)/1000</f>
        <v>776.89052609113946</v>
      </c>
      <c r="G164" s="300">
        <f>('Assumption Table'!$I$40*'The Model'!G18)/1000</f>
        <v>890.83978282778128</v>
      </c>
      <c r="H164" s="300">
        <f>('Assumption Table'!$I$40*'The Model'!H18)/1000</f>
        <v>1021.5023764822554</v>
      </c>
      <c r="I164" s="300">
        <f>('Assumption Table'!$I$40*'The Model'!I18)/1000</f>
        <v>1171.3297107664314</v>
      </c>
      <c r="J164" s="300">
        <f>('Assumption Table'!$I$40*'The Model'!J18)/1000</f>
        <v>1343.1327453676315</v>
      </c>
    </row>
    <row r="165" spans="2:10" x14ac:dyDescent="0.25">
      <c r="B165" s="101" t="str">
        <f>'Data Source Table'!A120</f>
        <v>Prepaid Exp.</v>
      </c>
      <c r="C165" s="299">
        <f>'Data Source Table'!E120</f>
        <v>392.7</v>
      </c>
      <c r="D165" s="299">
        <f>'Data Source Table'!F120</f>
        <v>408.9</v>
      </c>
      <c r="E165" s="299">
        <f>'Data Source Table'!G120</f>
        <v>431.9</v>
      </c>
      <c r="F165" s="300">
        <f>('Assumption Table'!$I$41*'The Model'!F18)/1000</f>
        <v>488.75780924952176</v>
      </c>
      <c r="G165" s="300">
        <f>('Assumption Table'!$I$41*'The Model'!G18)/1000</f>
        <v>560.44563040037315</v>
      </c>
      <c r="H165" s="300">
        <f>('Assumption Table'!$I$41*'The Model'!H18)/1000</f>
        <v>642.64815557047586</v>
      </c>
      <c r="I165" s="300">
        <f>('Assumption Table'!$I$41*'The Model'!I18)/1000</f>
        <v>736.90761325607366</v>
      </c>
      <c r="J165" s="300">
        <f>('Assumption Table'!$I$41*'The Model'!J18)/1000</f>
        <v>844.99243601300816</v>
      </c>
    </row>
    <row r="166" spans="2:10" x14ac:dyDescent="0.25">
      <c r="B166" s="101" t="str">
        <f>'Data Source Table'!A121</f>
        <v>Other Current Assets</v>
      </c>
      <c r="C166" s="299">
        <f>'Data Source Table'!E121</f>
        <v>1225</v>
      </c>
      <c r="D166" s="299">
        <f>'Data Source Table'!F121</f>
        <v>529.29999999999995</v>
      </c>
      <c r="E166" s="299">
        <f>'Data Source Table'!G121</f>
        <v>1096.4000000000001</v>
      </c>
      <c r="F166" s="300">
        <f>('Assumption Table'!$I$42*'The Model'!F18)/1000</f>
        <v>1278.2484275308032</v>
      </c>
      <c r="G166" s="300">
        <f>('Assumption Table'!$I$42*'The Model'!G18)/1000</f>
        <v>1465.7336051075845</v>
      </c>
      <c r="H166" s="300">
        <f>('Assumption Table'!$I$42*'The Model'!H18)/1000</f>
        <v>1680.7178908811175</v>
      </c>
      <c r="I166" s="300">
        <f>('Assumption Table'!$I$42*'The Model'!I18)/1000</f>
        <v>1927.2346754446769</v>
      </c>
      <c r="J166" s="300">
        <f>('Assumption Table'!$I$42*'The Model'!J18)/1000</f>
        <v>2209.9089409283079</v>
      </c>
    </row>
    <row r="167" spans="2:10" x14ac:dyDescent="0.25">
      <c r="B167" s="126" t="s">
        <v>738</v>
      </c>
      <c r="C167" s="299">
        <f>SUM(C163:C166)</f>
        <v>3204.6000000000004</v>
      </c>
      <c r="D167" s="299">
        <f t="shared" ref="D167:J167" si="52">SUM(D163:D166)</f>
        <v>2780.3</v>
      </c>
      <c r="E167" s="299">
        <f t="shared" si="52"/>
        <v>3516.6</v>
      </c>
      <c r="F167" s="300">
        <f>SUM(F163:F166)</f>
        <v>3932.0629644158735</v>
      </c>
      <c r="G167" s="300">
        <f t="shared" si="52"/>
        <v>4508.7924226720079</v>
      </c>
      <c r="H167" s="300">
        <f t="shared" si="52"/>
        <v>5170.1128122103992</v>
      </c>
      <c r="I167" s="300">
        <f t="shared" si="52"/>
        <v>5928.431381443218</v>
      </c>
      <c r="J167" s="300">
        <f t="shared" si="52"/>
        <v>6797.9751933990201</v>
      </c>
    </row>
    <row r="168" spans="2:10" x14ac:dyDescent="0.25">
      <c r="B168" s="101" t="str">
        <f>'Data Source Table'!A130</f>
        <v xml:space="preserve">  Total Cash &amp; ST Investments</v>
      </c>
      <c r="C168" s="299">
        <f>'Data Source Table'!E130</f>
        <v>6058.5</v>
      </c>
      <c r="D168" s="299">
        <f>'Data Source Table'!F130</f>
        <v>7137.9</v>
      </c>
      <c r="E168" s="299">
        <f>'Data Source Table'!G130</f>
        <v>9583.7000000000007</v>
      </c>
      <c r="F168" s="300">
        <f>('Assumption Table'!$I$50*'The Model'!F18)/1000</f>
        <v>10556.639156521043</v>
      </c>
      <c r="G168" s="300">
        <f>('Assumption Table'!$I$50*'The Model'!G18)/1000</f>
        <v>12105.018426345456</v>
      </c>
      <c r="H168" s="300">
        <f>('Assumption Table'!$I$50*'The Model'!H18)/1000</f>
        <v>13880.503911289577</v>
      </c>
      <c r="I168" s="300">
        <f>('Assumption Table'!$I$50*'The Model'!I18)/1000</f>
        <v>15916.406076012267</v>
      </c>
      <c r="J168" s="300">
        <f>('Assumption Table'!$I$50*'The Model'!J18)/1000</f>
        <v>18250.921147788806</v>
      </c>
    </row>
    <row r="169" spans="2:10" s="126" customFormat="1" x14ac:dyDescent="0.25">
      <c r="B169" s="126" t="s">
        <v>739</v>
      </c>
      <c r="C169" s="318">
        <f>C167+C168</f>
        <v>9263.1</v>
      </c>
      <c r="D169" s="318">
        <f t="shared" ref="D169:J169" si="53">D167+D168</f>
        <v>9918.2000000000007</v>
      </c>
      <c r="E169" s="318">
        <f t="shared" si="53"/>
        <v>13100.300000000001</v>
      </c>
      <c r="F169" s="307">
        <f t="shared" si="53"/>
        <v>14488.702120936916</v>
      </c>
      <c r="G169" s="307">
        <f t="shared" si="53"/>
        <v>16613.810849017464</v>
      </c>
      <c r="H169" s="307">
        <f t="shared" si="53"/>
        <v>19050.616723499978</v>
      </c>
      <c r="I169" s="307">
        <f t="shared" si="53"/>
        <v>21844.837457455484</v>
      </c>
      <c r="J169" s="307">
        <f t="shared" si="53"/>
        <v>25048.896341187825</v>
      </c>
    </row>
    <row r="170" spans="2:10" x14ac:dyDescent="0.25">
      <c r="B170" s="101" t="str">
        <f>'Data Source Table'!A123</f>
        <v>Accounts Payable</v>
      </c>
      <c r="C170" s="299">
        <f>'Data Source Table'!E123</f>
        <v>671.5</v>
      </c>
      <c r="D170" s="299">
        <f>'Data Source Table'!F123</f>
        <v>747.4</v>
      </c>
      <c r="E170" s="299">
        <f>'Data Source Table'!G123</f>
        <v>899.9</v>
      </c>
      <c r="F170" s="319">
        <f>('Assumption Table'!$I$44*'The Model'!F18)/1000</f>
        <v>1081.6213040215969</v>
      </c>
      <c r="G170" s="319">
        <f>('Assumption Table'!$I$44*'The Model'!G18)/1000</f>
        <v>1240.2664921459784</v>
      </c>
      <c r="H170" s="319">
        <f>('Assumption Table'!$I$44*'The Model'!H18)/1000</f>
        <v>1422.1807261198096</v>
      </c>
      <c r="I170" s="319">
        <f>('Assumption Table'!$I$44*'The Model'!I18)/1000</f>
        <v>1630.7769584640287</v>
      </c>
      <c r="J170" s="319">
        <f>('Assumption Table'!$I$44*'The Model'!J18)/1000</f>
        <v>1869.9687314094206</v>
      </c>
    </row>
    <row r="171" spans="2:10" x14ac:dyDescent="0.25">
      <c r="B171" s="101" t="str">
        <f>'Data Source Table'!A124</f>
        <v>Accrued Exp.</v>
      </c>
      <c r="C171" s="299">
        <f>'Data Source Table'!E124</f>
        <v>1158.7</v>
      </c>
      <c r="D171" s="299">
        <f>'Data Source Table'!F124</f>
        <v>1280.5999999999999</v>
      </c>
      <c r="E171" s="299">
        <f>'Data Source Table'!G124</f>
        <v>1410.1</v>
      </c>
      <c r="F171" s="300">
        <f>('Assumption Table'!$I$45*'The Model'!F18)/1000</f>
        <v>1635.1531029783444</v>
      </c>
      <c r="G171" s="300">
        <f>('Assumption Table'!$I$45*'The Model'!G18)/1000</f>
        <v>1874.9867403795781</v>
      </c>
      <c r="H171" s="300">
        <f>('Assumption Table'!$I$45*'The Model'!H18)/1000</f>
        <v>2149.9976180798008</v>
      </c>
      <c r="I171" s="300">
        <f>('Assumption Table'!$I$45*'The Model'!I18)/1000</f>
        <v>2465.345305222279</v>
      </c>
      <c r="J171" s="300">
        <f>('Assumption Table'!$I$45*'The Model'!J18)/1000</f>
        <v>2826.9461430426286</v>
      </c>
    </row>
    <row r="172" spans="2:10" x14ac:dyDescent="0.25">
      <c r="B172" s="101" t="str">
        <f>'Data Source Table'!A125</f>
        <v>Curr. Port. of LT Debt</v>
      </c>
      <c r="C172" s="299" t="str">
        <f>'Data Source Table'!E125</f>
        <v>-</v>
      </c>
      <c r="D172" s="299">
        <f>'Data Source Table'!F125</f>
        <v>399.8</v>
      </c>
      <c r="E172" s="299">
        <f>'Data Source Table'!G125</f>
        <v>1784.5</v>
      </c>
      <c r="F172" s="300">
        <f>('Assumption Table'!$I$46*'The Model'!F18)/1000</f>
        <v>1131.1571537743162</v>
      </c>
      <c r="G172" s="300">
        <f>('Assumption Table'!$I$46*'The Model'!G18)/1000</f>
        <v>1297.0679386225247</v>
      </c>
      <c r="H172" s="300">
        <f>('Assumption Table'!$I$46*'The Model'!H18)/1000</f>
        <v>1487.3134398601421</v>
      </c>
      <c r="I172" s="300">
        <f>('Assumption Table'!$I$46*'The Model'!I18)/1000</f>
        <v>1705.4629156417523</v>
      </c>
      <c r="J172" s="300">
        <f>('Assumption Table'!$I$46*'The Model'!J18)/1000</f>
        <v>1955.6091397269793</v>
      </c>
    </row>
    <row r="173" spans="2:10" x14ac:dyDescent="0.25">
      <c r="B173" s="101" t="str">
        <f>'Data Source Table'!A126</f>
        <v>Curr. Port. of Leases</v>
      </c>
      <c r="C173" s="299">
        <f>'Data Source Table'!E126</f>
        <v>356</v>
      </c>
      <c r="D173" s="299">
        <f>'Data Source Table'!F126</f>
        <v>383.3</v>
      </c>
      <c r="E173" s="299">
        <f>'Data Source Table'!G126</f>
        <v>428.5</v>
      </c>
      <c r="F173" s="300">
        <f>('Assumption Table'!$I$47*'The Model'!F18)/1000</f>
        <v>487.2519047589102</v>
      </c>
      <c r="G173" s="300">
        <f>('Assumption Table'!$I$47*'The Model'!G18)/1000</f>
        <v>558.71884961939804</v>
      </c>
      <c r="H173" s="300">
        <f>('Assumption Table'!$I$47*'The Model'!H18)/1000</f>
        <v>640.66810179938045</v>
      </c>
      <c r="I173" s="300">
        <f>('Assumption Table'!$I$47*'The Model'!I18)/1000</f>
        <v>734.63713805758607</v>
      </c>
      <c r="J173" s="300">
        <f>('Assumption Table'!$I$47*'The Model'!J18)/1000</f>
        <v>842.38894225834338</v>
      </c>
    </row>
    <row r="174" spans="2:10" x14ac:dyDescent="0.25">
      <c r="B174" s="101" t="str">
        <f>'Data Source Table'!A127</f>
        <v>Unearned Revenue, Current</v>
      </c>
      <c r="C174" s="299">
        <f>'Data Source Table'!E127</f>
        <v>1264.7</v>
      </c>
      <c r="D174" s="299">
        <f>'Data Source Table'!F127</f>
        <v>1443</v>
      </c>
      <c r="E174" s="299">
        <f>'Data Source Table'!G127</f>
        <v>1520.8</v>
      </c>
      <c r="F174" s="300">
        <f>('Assumption Table'!$I$48*'The Model'!F18)/1000</f>
        <v>1853.54862497213</v>
      </c>
      <c r="G174" s="300">
        <f>('Assumption Table'!$I$48*'The Model'!G18)/1000</f>
        <v>2125.415099137399</v>
      </c>
      <c r="H174" s="300">
        <f>('Assumption Table'!$I$48*'The Model'!H18)/1000</f>
        <v>2437.1571820562094</v>
      </c>
      <c r="I174" s="300">
        <f>('Assumption Table'!$I$48*'The Model'!I18)/1000</f>
        <v>2794.6235690424951</v>
      </c>
      <c r="J174" s="300">
        <f>('Assumption Table'!$I$48*'The Model'!J18)/1000</f>
        <v>3204.5208040536168</v>
      </c>
    </row>
    <row r="175" spans="2:10" x14ac:dyDescent="0.25">
      <c r="B175" s="101" t="str">
        <f>'Data Source Table'!A128</f>
        <v>Other Current Liabilities</v>
      </c>
      <c r="C175" s="299">
        <f>'Data Source Table'!E128</f>
        <v>4480.2</v>
      </c>
      <c r="D175" s="299">
        <f>'Data Source Table'!F128</f>
        <v>4606.6000000000004</v>
      </c>
      <c r="E175" s="299">
        <f>'Data Source Table'!G128</f>
        <v>4711.6000000000004</v>
      </c>
      <c r="F175" s="300">
        <f>('Assumption Table'!$I$49*'The Model'!F18)/1000</f>
        <v>6447.7474986517036</v>
      </c>
      <c r="G175" s="300">
        <f>('Assumption Table'!$I$49*'The Model'!G18)/1000</f>
        <v>7393.4612259043288</v>
      </c>
      <c r="H175" s="300">
        <f>('Assumption Table'!$I$49*'The Model'!H18)/1000</f>
        <v>8477.8861005927174</v>
      </c>
      <c r="I175" s="300">
        <f>('Assumption Table'!$I$49*'The Model'!I18)/1000</f>
        <v>9721.3673729426882</v>
      </c>
      <c r="J175" s="300">
        <f>('Assumption Table'!$I$49*'The Model'!J18)/1000</f>
        <v>11147.234402347945</v>
      </c>
    </row>
    <row r="176" spans="2:10" x14ac:dyDescent="0.25">
      <c r="B176" s="101" t="s">
        <v>740</v>
      </c>
      <c r="C176" s="299">
        <f>SUM(C170:C175)</f>
        <v>7931.0999999999995</v>
      </c>
      <c r="D176" s="299">
        <f t="shared" ref="D176:J176" si="54">SUM(D170:D175)</f>
        <v>8860.7000000000007</v>
      </c>
      <c r="E176" s="299">
        <f t="shared" si="54"/>
        <v>10755.400000000001</v>
      </c>
      <c r="F176" s="320">
        <f t="shared" si="54"/>
        <v>12636.479589157001</v>
      </c>
      <c r="G176" s="320">
        <f t="shared" si="54"/>
        <v>14489.916345809208</v>
      </c>
      <c r="H176" s="320">
        <f t="shared" si="54"/>
        <v>16615.203168508058</v>
      </c>
      <c r="I176" s="320">
        <f t="shared" si="54"/>
        <v>19052.21325937083</v>
      </c>
      <c r="J176" s="320">
        <f t="shared" si="54"/>
        <v>21846.668162838934</v>
      </c>
    </row>
    <row r="177" spans="2:10" x14ac:dyDescent="0.25">
      <c r="B177" s="126" t="str">
        <f>'Data Source Table'!A129</f>
        <v>Working Capital excluding cash and short term investments</v>
      </c>
      <c r="C177" s="299">
        <f>C167-C176</f>
        <v>-4726.4999999999991</v>
      </c>
      <c r="D177" s="299">
        <f t="shared" ref="D177:J177" si="55">D167-D176</f>
        <v>-6080.4000000000005</v>
      </c>
      <c r="E177" s="299">
        <f t="shared" si="55"/>
        <v>-7238.8000000000011</v>
      </c>
      <c r="F177" s="320">
        <f t="shared" si="55"/>
        <v>-8704.4166247411267</v>
      </c>
      <c r="G177" s="320">
        <f t="shared" si="55"/>
        <v>-9981.1239231372001</v>
      </c>
      <c r="H177" s="320">
        <f t="shared" si="55"/>
        <v>-11445.09035629766</v>
      </c>
      <c r="I177" s="320">
        <f t="shared" si="55"/>
        <v>-13123.781877927613</v>
      </c>
      <c r="J177" s="320">
        <f t="shared" si="55"/>
        <v>-15048.692969439915</v>
      </c>
    </row>
    <row r="178" spans="2:10" x14ac:dyDescent="0.25">
      <c r="B178" s="126" t="str">
        <f>'Data Source Table'!A131</f>
        <v>Working Capital including cash and short term investments</v>
      </c>
      <c r="C178" s="299">
        <f>C169-C176</f>
        <v>1332.0000000000009</v>
      </c>
      <c r="D178" s="299">
        <f t="shared" ref="D178:J178" si="56">D169-D176</f>
        <v>1057.5</v>
      </c>
      <c r="E178" s="299">
        <f t="shared" si="56"/>
        <v>2344.8999999999996</v>
      </c>
      <c r="F178" s="320">
        <f t="shared" si="56"/>
        <v>1852.2225317799148</v>
      </c>
      <c r="G178" s="320">
        <f t="shared" si="56"/>
        <v>2123.8945032082556</v>
      </c>
      <c r="H178" s="320">
        <f t="shared" si="56"/>
        <v>2435.4135549919192</v>
      </c>
      <c r="I178" s="320">
        <f t="shared" si="56"/>
        <v>2792.6241980846535</v>
      </c>
      <c r="J178" s="320">
        <f t="shared" si="56"/>
        <v>3202.2281783488907</v>
      </c>
    </row>
    <row r="179" spans="2:10" x14ac:dyDescent="0.25">
      <c r="B179" s="126" t="s">
        <v>741</v>
      </c>
      <c r="C179" s="300"/>
      <c r="D179" s="300"/>
      <c r="E179" s="300"/>
      <c r="F179" s="300">
        <f>F178-E178</f>
        <v>-492.67746822008485</v>
      </c>
      <c r="G179" s="300">
        <f t="shared" ref="G179:J179" si="57">G178-F178</f>
        <v>271.67197142834084</v>
      </c>
      <c r="H179" s="300">
        <f t="shared" si="57"/>
        <v>311.5190517836636</v>
      </c>
      <c r="I179" s="300">
        <f t="shared" si="57"/>
        <v>357.21064309273424</v>
      </c>
      <c r="J179" s="300">
        <f t="shared" si="57"/>
        <v>409.60398026423718</v>
      </c>
    </row>
    <row r="180" spans="2:10" x14ac:dyDescent="0.25">
      <c r="C180" s="300"/>
      <c r="D180" s="300"/>
      <c r="E180" s="300"/>
      <c r="F180" s="300"/>
      <c r="G180" s="300"/>
      <c r="H180" s="300"/>
      <c r="I180" s="300"/>
      <c r="J180" s="300"/>
    </row>
    <row r="181" spans="2:10" x14ac:dyDescent="0.25">
      <c r="C181" s="300"/>
      <c r="D181" s="300"/>
      <c r="E181" s="300"/>
      <c r="F181" s="300"/>
      <c r="G181" s="300"/>
      <c r="H181" s="300"/>
      <c r="I181" s="300"/>
      <c r="J181" s="300"/>
    </row>
    <row r="182" spans="2:10" x14ac:dyDescent="0.25">
      <c r="B182" s="291" t="s">
        <v>169</v>
      </c>
      <c r="C182" s="316"/>
      <c r="D182" s="316"/>
      <c r="E182" s="316"/>
      <c r="F182" s="316"/>
      <c r="G182" s="316"/>
      <c r="H182" s="316"/>
      <c r="I182" s="316"/>
      <c r="J182" s="316"/>
    </row>
    <row r="183" spans="2:10" x14ac:dyDescent="0.25">
      <c r="B183" s="101" t="s">
        <v>729</v>
      </c>
      <c r="C183" s="293">
        <f>C161</f>
        <v>2022</v>
      </c>
      <c r="D183" s="293">
        <f t="shared" ref="D183:J183" si="58">D161</f>
        <v>2023</v>
      </c>
      <c r="E183" s="293">
        <f t="shared" si="58"/>
        <v>2024</v>
      </c>
      <c r="F183" s="294">
        <f t="shared" si="58"/>
        <v>2025</v>
      </c>
      <c r="G183" s="294">
        <f t="shared" si="58"/>
        <v>2026</v>
      </c>
      <c r="H183" s="294">
        <f t="shared" si="58"/>
        <v>2027</v>
      </c>
      <c r="I183" s="294">
        <f t="shared" si="58"/>
        <v>2028</v>
      </c>
      <c r="J183" s="294">
        <f t="shared" si="58"/>
        <v>2029</v>
      </c>
    </row>
    <row r="184" spans="2:10" x14ac:dyDescent="0.25">
      <c r="B184" s="101" t="str">
        <f>'Data Source Table'!A271</f>
        <v xml:space="preserve">  Total Revenue</v>
      </c>
      <c r="C184" s="299">
        <f>'Data Source Table'!E271</f>
        <v>31615.55</v>
      </c>
      <c r="D184" s="299">
        <f>'Data Source Table'!F271</f>
        <v>33723.296999999999</v>
      </c>
      <c r="E184" s="299">
        <f>'Data Source Table'!G271</f>
        <v>39000.966</v>
      </c>
      <c r="F184" s="300">
        <f>F18/1000</f>
        <v>44721.374395338942</v>
      </c>
      <c r="G184" s="300">
        <f t="shared" ref="G184:J184" si="59">G18/1000</f>
        <v>51280.815142067964</v>
      </c>
      <c r="H184" s="300">
        <f t="shared" si="59"/>
        <v>58802.352056269265</v>
      </c>
      <c r="I184" s="300">
        <f t="shared" si="59"/>
        <v>67427.099155311866</v>
      </c>
      <c r="J184" s="300">
        <f t="shared" si="59"/>
        <v>77316.868144146589</v>
      </c>
    </row>
    <row r="185" spans="2:10" x14ac:dyDescent="0.25">
      <c r="C185" s="299"/>
      <c r="D185" s="299"/>
      <c r="E185" s="299"/>
      <c r="F185" s="300"/>
      <c r="G185" s="300"/>
      <c r="H185" s="300"/>
      <c r="I185" s="300"/>
      <c r="J185" s="300"/>
    </row>
    <row r="186" spans="2:10" x14ac:dyDescent="0.25">
      <c r="B186" s="101" t="str">
        <f>'Data Source Table'!A273</f>
        <v>Cost Of Goods Sold</v>
      </c>
      <c r="C186" s="299">
        <f>'Data Source Table'!E273</f>
        <v>19168.285</v>
      </c>
      <c r="D186" s="299">
        <f>'Data Source Table'!F273</f>
        <v>19715.367999999999</v>
      </c>
      <c r="E186" s="299">
        <f>'Data Source Table'!G273</f>
        <v>21038.464</v>
      </c>
      <c r="F186" s="300">
        <f>F19/1000</f>
        <v>23412.21343880011</v>
      </c>
      <c r="G186" s="300">
        <f t="shared" ref="G186:J186" si="60">G19/1000</f>
        <v>26053.790718939013</v>
      </c>
      <c r="H186" s="300">
        <f t="shared" si="60"/>
        <v>28993.414595363502</v>
      </c>
      <c r="I186" s="300">
        <f t="shared" si="60"/>
        <v>32264.713375761305</v>
      </c>
      <c r="J186" s="300">
        <f t="shared" si="60"/>
        <v>35905.109617081958</v>
      </c>
    </row>
    <row r="187" spans="2:10" x14ac:dyDescent="0.25">
      <c r="B187" s="126" t="str">
        <f>'Data Source Table'!A274</f>
        <v xml:space="preserve">  Gross Profit</v>
      </c>
      <c r="C187" s="318">
        <f>C184-C186</f>
        <v>12447.264999999999</v>
      </c>
      <c r="D187" s="318">
        <f t="shared" ref="D187:E187" si="61">D184-D186</f>
        <v>14007.929</v>
      </c>
      <c r="E187" s="318">
        <f t="shared" si="61"/>
        <v>17962.502</v>
      </c>
      <c r="F187" s="307">
        <f>F184-F186</f>
        <v>21309.160956538832</v>
      </c>
      <c r="G187" s="307">
        <f t="shared" ref="G187:J187" si="62">G184-G186</f>
        <v>25227.024423128951</v>
      </c>
      <c r="H187" s="307">
        <f t="shared" si="62"/>
        <v>29808.937460905763</v>
      </c>
      <c r="I187" s="307">
        <f t="shared" si="62"/>
        <v>35162.385779550561</v>
      </c>
      <c r="J187" s="307">
        <f t="shared" si="62"/>
        <v>41411.75852706463</v>
      </c>
    </row>
    <row r="188" spans="2:10" x14ac:dyDescent="0.25">
      <c r="C188" s="299"/>
      <c r="D188" s="299"/>
      <c r="E188" s="299"/>
      <c r="F188" s="300"/>
      <c r="G188" s="300"/>
      <c r="H188" s="300"/>
      <c r="I188" s="300"/>
      <c r="J188" s="300"/>
    </row>
    <row r="189" spans="2:10" x14ac:dyDescent="0.25">
      <c r="B189" s="101" t="str">
        <f>B25</f>
        <v>Sales and Marketing</v>
      </c>
      <c r="C189" s="300">
        <f>C25/1000</f>
        <v>2530.502</v>
      </c>
      <c r="D189" s="300">
        <f t="shared" ref="D189:E189" si="63">D25/1000</f>
        <v>2657.8829999999998</v>
      </c>
      <c r="E189" s="300">
        <f t="shared" si="63"/>
        <v>2917.5540000000001</v>
      </c>
      <c r="F189" s="300">
        <f>F25/1000</f>
        <v>2990.2324895795555</v>
      </c>
      <c r="G189" s="300">
        <f t="shared" ref="G189:J189" si="64">G25/1000</f>
        <v>3064.7214556224653</v>
      </c>
      <c r="H189" s="300">
        <f t="shared" si="64"/>
        <v>3141.0659984746962</v>
      </c>
      <c r="I189" s="300">
        <f t="shared" si="64"/>
        <v>3219.3123419661415</v>
      </c>
      <c r="J189" s="300">
        <f t="shared" si="64"/>
        <v>3299.5078613974601</v>
      </c>
    </row>
    <row r="190" spans="2:10" x14ac:dyDescent="0.25">
      <c r="B190" s="101" t="str">
        <f t="shared" ref="B190:B191" si="65">B26</f>
        <v>Technology and development</v>
      </c>
      <c r="C190" s="300">
        <f>C26/1000</f>
        <v>2711.0410000000002</v>
      </c>
      <c r="D190" s="300">
        <f t="shared" ref="D190:F190" si="66">D26/1000</f>
        <v>2675.7579999999998</v>
      </c>
      <c r="E190" s="300">
        <f t="shared" si="66"/>
        <v>2925.2950000000001</v>
      </c>
      <c r="F190" s="300">
        <f t="shared" si="66"/>
        <v>3334.4965418874935</v>
      </c>
      <c r="G190" s="300">
        <f t="shared" ref="G190:J190" si="67">G26/1000</f>
        <v>3800.9387729646587</v>
      </c>
      <c r="H190" s="300">
        <f t="shared" si="67"/>
        <v>4332.6287415035904</v>
      </c>
      <c r="I190" s="300">
        <f t="shared" si="67"/>
        <v>4938.6935525566087</v>
      </c>
      <c r="J190" s="300">
        <f t="shared" si="67"/>
        <v>5629.5370458166008</v>
      </c>
    </row>
    <row r="191" spans="2:10" x14ac:dyDescent="0.25">
      <c r="B191" s="101" t="str">
        <f t="shared" si="65"/>
        <v>General and administrative</v>
      </c>
      <c r="C191" s="300">
        <f>C27/1000</f>
        <v>1572.8910000000001</v>
      </c>
      <c r="D191" s="300">
        <f t="shared" ref="D191:F191" si="68">D27/1000</f>
        <v>1720.2850000000001</v>
      </c>
      <c r="E191" s="300">
        <f t="shared" si="68"/>
        <v>1702.039</v>
      </c>
      <c r="F191" s="300">
        <f t="shared" si="68"/>
        <v>1933.4125729011982</v>
      </c>
      <c r="G191" s="300">
        <f t="shared" ref="G191:J191" si="69">G27/1000</f>
        <v>2196.2388506094344</v>
      </c>
      <c r="H191" s="300">
        <f t="shared" si="69"/>
        <v>2494.7934840872367</v>
      </c>
      <c r="I191" s="300">
        <f t="shared" si="69"/>
        <v>2833.9333522476563</v>
      </c>
      <c r="J191" s="300">
        <f t="shared" si="69"/>
        <v>3219.1755735324859</v>
      </c>
    </row>
    <row r="192" spans="2:10" x14ac:dyDescent="0.25">
      <c r="B192" s="101" t="s">
        <v>742</v>
      </c>
      <c r="C192" s="299" t="str">
        <f>'Data Source Table'!E278</f>
        <v>-</v>
      </c>
      <c r="D192" s="299" t="str">
        <f>'Data Source Table'!C278</f>
        <v>-</v>
      </c>
      <c r="E192" s="299" t="str">
        <f>'Data Source Table'!D278</f>
        <v>-</v>
      </c>
      <c r="F192" s="300">
        <f>F143/1000</f>
        <v>213.52136666666667</v>
      </c>
      <c r="G192" s="300">
        <f t="shared" ref="G192:J192" si="70">G143/1000</f>
        <v>213.5699517614824</v>
      </c>
      <c r="H192" s="300">
        <f t="shared" si="70"/>
        <v>213.60839583496346</v>
      </c>
      <c r="I192" s="300">
        <f t="shared" si="70"/>
        <v>213.65247863546196</v>
      </c>
      <c r="J192" s="300">
        <f t="shared" si="70"/>
        <v>213.70302721483537</v>
      </c>
    </row>
    <row r="193" spans="2:10" x14ac:dyDescent="0.25">
      <c r="B193" s="101" t="str">
        <f>B29</f>
        <v>Operating Leases, as planned, in $MM</v>
      </c>
      <c r="C193" s="299">
        <f>C29/1000</f>
        <v>0</v>
      </c>
      <c r="D193" s="299">
        <f t="shared" ref="D193:E193" si="71">D29/1000</f>
        <v>0</v>
      </c>
      <c r="E193" s="299">
        <f t="shared" si="71"/>
        <v>0</v>
      </c>
      <c r="F193" s="300">
        <f>'Assumption Table'!Q47/1000</f>
        <v>505.20100000000002</v>
      </c>
      <c r="G193" s="300">
        <f>'Assumption Table'!R47/1000</f>
        <v>477.25599999999997</v>
      </c>
      <c r="H193" s="300">
        <f>'Assumption Table'!S47/1000</f>
        <v>415.983</v>
      </c>
      <c r="I193" s="300">
        <f>'Assumption Table'!T47/1000</f>
        <v>345.91199999999998</v>
      </c>
      <c r="J193" s="300">
        <f>'Assumption Table'!U47/1000</f>
        <v>276.10899999999998</v>
      </c>
    </row>
    <row r="194" spans="2:10" x14ac:dyDescent="0.25">
      <c r="C194" s="299"/>
      <c r="D194" s="299"/>
      <c r="E194" s="299"/>
      <c r="G194" s="300"/>
      <c r="H194" s="300"/>
      <c r="I194" s="300"/>
      <c r="J194" s="300"/>
    </row>
    <row r="195" spans="2:10" s="126" customFormat="1" x14ac:dyDescent="0.25">
      <c r="B195" s="126" t="str">
        <f>B31</f>
        <v>Total Operation Expense</v>
      </c>
      <c r="C195" s="307">
        <f>SUM(C189:C193)</f>
        <v>6814.4339999999993</v>
      </c>
      <c r="D195" s="307">
        <f t="shared" ref="D195:E195" si="72">SUM(D189:D193)</f>
        <v>7053.9259999999995</v>
      </c>
      <c r="E195" s="307">
        <f t="shared" si="72"/>
        <v>7544.8879999999999</v>
      </c>
      <c r="F195" s="307">
        <f>SUM(F189:F193)</f>
        <v>8976.8639710349125</v>
      </c>
      <c r="G195" s="307">
        <f t="shared" ref="G195:J195" si="73">SUM(G189:G193)</f>
        <v>9752.7250309580413</v>
      </c>
      <c r="H195" s="307">
        <f t="shared" si="73"/>
        <v>10598.079619900487</v>
      </c>
      <c r="I195" s="307">
        <f t="shared" si="73"/>
        <v>11551.503725405868</v>
      </c>
      <c r="J195" s="307">
        <f t="shared" si="73"/>
        <v>12638.032507961383</v>
      </c>
    </row>
    <row r="196" spans="2:10" s="126" customFormat="1" x14ac:dyDescent="0.25">
      <c r="B196" s="126" t="str">
        <f>'Data Source Table'!A283</f>
        <v xml:space="preserve">  Operating Income</v>
      </c>
      <c r="C196" s="318">
        <f>'Data Source Table'!E283</f>
        <v>5632.8310000000001</v>
      </c>
      <c r="D196" s="318">
        <f>'Data Source Table'!F283</f>
        <v>6954.0029999999997</v>
      </c>
      <c r="E196" s="318">
        <f>'Data Source Table'!G283</f>
        <v>10417.614</v>
      </c>
      <c r="F196" s="307">
        <f>F187-F195</f>
        <v>12332.296985503919</v>
      </c>
      <c r="G196" s="307">
        <f t="shared" ref="G196:J196" si="74">G187-G195</f>
        <v>15474.299392170909</v>
      </c>
      <c r="H196" s="307">
        <f t="shared" si="74"/>
        <v>19210.857841005276</v>
      </c>
      <c r="I196" s="307">
        <f t="shared" si="74"/>
        <v>23610.882054144691</v>
      </c>
      <c r="J196" s="307">
        <f t="shared" si="74"/>
        <v>28773.726019103247</v>
      </c>
    </row>
    <row r="197" spans="2:10" x14ac:dyDescent="0.25">
      <c r="C197" s="299"/>
      <c r="D197" s="299"/>
      <c r="E197" s="299"/>
      <c r="F197" s="300"/>
      <c r="G197" s="300"/>
      <c r="H197" s="300"/>
      <c r="I197" s="300"/>
      <c r="J197" s="300"/>
    </row>
    <row r="198" spans="2:10" x14ac:dyDescent="0.25">
      <c r="B198" s="101" t="str">
        <f>'Data Source Table'!A285</f>
        <v>Interest Expense</v>
      </c>
      <c r="C198" s="299">
        <f>'Data Source Table'!E285</f>
        <v>-706.2</v>
      </c>
      <c r="D198" s="299">
        <f>'Data Source Table'!F285</f>
        <v>-699.8</v>
      </c>
      <c r="E198" s="299">
        <f>'Data Source Table'!G285</f>
        <v>-718.7</v>
      </c>
      <c r="F198" s="300">
        <f>-F156</f>
        <v>-662.752056527234</v>
      </c>
      <c r="G198" s="300">
        <f t="shared" ref="G198:J198" si="75">-G156</f>
        <v>-695.88965935359568</v>
      </c>
      <c r="H198" s="300">
        <f t="shared" si="75"/>
        <v>-730.68414232127554</v>
      </c>
      <c r="I198" s="300">
        <f t="shared" si="75"/>
        <v>-767.21834943733927</v>
      </c>
      <c r="J198" s="300">
        <f t="shared" si="75"/>
        <v>-805.57926690920624</v>
      </c>
    </row>
    <row r="199" spans="2:10" x14ac:dyDescent="0.25">
      <c r="B199" s="101" t="str">
        <f>'Data Source Table'!A286</f>
        <v>Interest and Invest. Income</v>
      </c>
      <c r="C199" s="299">
        <f>'Data Source Table'!E286</f>
        <v>60</v>
      </c>
      <c r="D199" s="299">
        <f>'Data Source Table'!F286</f>
        <v>281</v>
      </c>
      <c r="E199" s="299">
        <f>'Data Source Table'!G286</f>
        <v>294</v>
      </c>
      <c r="F199" s="300">
        <f>E199*(1+'Assumption Table'!$I$28)</f>
        <v>809.76846709101244</v>
      </c>
      <c r="G199" s="300">
        <f>F199*(1+'Assumption Table'!$I$28)</f>
        <v>2230.3570418194831</v>
      </c>
      <c r="H199" s="300">
        <f>G199*(1+'Assumption Table'!$I$28)</f>
        <v>6143.104771495945</v>
      </c>
      <c r="I199" s="300">
        <f>H199*(1+'Assumption Table'!$I$28)</f>
        <v>16920.042632631823</v>
      </c>
      <c r="J199" s="300">
        <f>I199*(1+'Assumption Table'!$I$28)</f>
        <v>46603.118999118538</v>
      </c>
    </row>
    <row r="200" spans="2:10" s="126" customFormat="1" x14ac:dyDescent="0.25">
      <c r="B200" s="101" t="str">
        <f>'Data Source Table'!A287</f>
        <v xml:space="preserve">  Net Interest Exp.</v>
      </c>
      <c r="C200" s="318">
        <f>'Data Source Table'!E287</f>
        <v>-646.20000000000005</v>
      </c>
      <c r="D200" s="318">
        <f>'Data Source Table'!F287</f>
        <v>-418.8</v>
      </c>
      <c r="E200" s="318">
        <f>'Data Source Table'!G287</f>
        <v>-424.7</v>
      </c>
      <c r="F200" s="307">
        <f>SUM(F198:F199)</f>
        <v>147.01641056377844</v>
      </c>
      <c r="G200" s="307">
        <f t="shared" ref="G200:J200" si="76">SUM(G198:G199)</f>
        <v>1534.4673824658876</v>
      </c>
      <c r="H200" s="307">
        <f t="shared" si="76"/>
        <v>5412.4206291746696</v>
      </c>
      <c r="I200" s="307">
        <f t="shared" si="76"/>
        <v>16152.824283194484</v>
      </c>
      <c r="J200" s="307">
        <f t="shared" si="76"/>
        <v>45797.539732209334</v>
      </c>
    </row>
    <row r="201" spans="2:10" x14ac:dyDescent="0.25">
      <c r="C201" s="299"/>
      <c r="D201" s="299"/>
      <c r="E201" s="299"/>
      <c r="F201" s="300"/>
      <c r="G201" s="300"/>
      <c r="H201" s="300"/>
      <c r="I201" s="300"/>
      <c r="J201" s="300"/>
    </row>
    <row r="202" spans="2:10" x14ac:dyDescent="0.25">
      <c r="B202" s="101" t="str">
        <f>'Data Source Table'!A289</f>
        <v>Currency Exchange Gains (Loss)</v>
      </c>
      <c r="C202" s="299">
        <f>'Data Source Table'!E289</f>
        <v>282</v>
      </c>
      <c r="D202" s="299">
        <f>'Data Source Table'!F289</f>
        <v>-293</v>
      </c>
      <c r="E202" s="299">
        <f>'Data Source Table'!G289</f>
        <v>-18</v>
      </c>
      <c r="F202" s="300">
        <f>E202*(1+'Assumption Table'!$I$29)</f>
        <v>-16.2</v>
      </c>
      <c r="G202" s="300">
        <f>F202*(1+'Assumption Table'!$I$29)</f>
        <v>-14.58</v>
      </c>
      <c r="H202" s="300">
        <f>G202*(1+'Assumption Table'!$I$29)</f>
        <v>-13.122</v>
      </c>
      <c r="I202" s="300">
        <f>H202*(1+'Assumption Table'!$I$29)</f>
        <v>-11.809800000000001</v>
      </c>
      <c r="J202" s="300">
        <f>I202*(1+'Assumption Table'!$I$29)</f>
        <v>-10.628820000000001</v>
      </c>
    </row>
    <row r="203" spans="2:10" x14ac:dyDescent="0.25">
      <c r="B203" s="101" t="str">
        <f>'Data Source Table'!A291</f>
        <v xml:space="preserve">  EBT Excl. Unusual Items</v>
      </c>
      <c r="C203" s="299">
        <f>'Data Source Table'!E291</f>
        <v>5263.9290000000001</v>
      </c>
      <c r="D203" s="299">
        <f>'Data Source Table'!F291</f>
        <v>6205.4049999999997</v>
      </c>
      <c r="E203" s="299">
        <f>'Data Source Table'!G291</f>
        <v>9965.6569999999992</v>
      </c>
      <c r="F203" s="300">
        <f>F196+F200+F202</f>
        <v>12463.113396067696</v>
      </c>
      <c r="G203" s="300">
        <f t="shared" ref="G203:J203" si="77">G196+G200+G202</f>
        <v>16994.186774636793</v>
      </c>
      <c r="H203" s="300">
        <f t="shared" si="77"/>
        <v>24610.156470179947</v>
      </c>
      <c r="I203" s="300">
        <f t="shared" si="77"/>
        <v>39751.896537339169</v>
      </c>
      <c r="J203" s="300">
        <f t="shared" si="77"/>
        <v>74560.636931312576</v>
      </c>
    </row>
    <row r="204" spans="2:10" x14ac:dyDescent="0.25">
      <c r="B204" s="101" t="str">
        <f>'Data Source Table'!A297</f>
        <v>Income Tax Expense</v>
      </c>
      <c r="C204" s="299">
        <f>'Data Source Table'!E297</f>
        <v>772.005</v>
      </c>
      <c r="D204" s="299">
        <f>'Data Source Table'!F297</f>
        <v>797.41499999999996</v>
      </c>
      <c r="E204" s="299">
        <f>'Data Source Table'!G297</f>
        <v>1254.0260000000001</v>
      </c>
      <c r="F204" s="300">
        <f>F203*'Assumption Table'!$Q$34</f>
        <v>3115.778349016924</v>
      </c>
      <c r="G204" s="300">
        <f>G203*'Assumption Table'!$Q$34</f>
        <v>4248.5466936591984</v>
      </c>
      <c r="H204" s="300">
        <f>H203*'Assumption Table'!$Q$34</f>
        <v>6152.5391175449868</v>
      </c>
      <c r="I204" s="300">
        <f>I203*'Assumption Table'!$Q$34</f>
        <v>9937.9741343347923</v>
      </c>
      <c r="J204" s="300">
        <f>J203*'Assumption Table'!$Q$34</f>
        <v>18640.159232828144</v>
      </c>
    </row>
    <row r="205" spans="2:10" x14ac:dyDescent="0.25">
      <c r="C205" s="299"/>
      <c r="D205" s="299"/>
      <c r="E205" s="299"/>
      <c r="F205" s="300"/>
      <c r="G205" s="300"/>
      <c r="H205" s="300"/>
      <c r="I205" s="300"/>
      <c r="J205" s="300"/>
    </row>
    <row r="206" spans="2:10" ht="16.5" thickBot="1" x14ac:dyDescent="0.3">
      <c r="B206" s="348" t="str">
        <f>'Data Source Table'!A302</f>
        <v xml:space="preserve">  Net Income to Company</v>
      </c>
      <c r="C206" s="300">
        <f>'Data Source Table'!E302</f>
        <v>4491.924</v>
      </c>
      <c r="D206" s="300">
        <f>'Data Source Table'!F302</f>
        <v>5407.99</v>
      </c>
      <c r="E206" s="300">
        <f>'Data Source Table'!G302</f>
        <v>8711.6309999999994</v>
      </c>
      <c r="F206" s="349">
        <f>F203-F204</f>
        <v>9347.3350470507721</v>
      </c>
      <c r="G206" s="349">
        <f t="shared" ref="G206:J206" si="78">G203-G204</f>
        <v>12745.640080977595</v>
      </c>
      <c r="H206" s="349">
        <f t="shared" si="78"/>
        <v>18457.617352634959</v>
      </c>
      <c r="I206" s="349">
        <f t="shared" si="78"/>
        <v>29813.922403004377</v>
      </c>
      <c r="J206" s="349">
        <f t="shared" si="78"/>
        <v>55920.477698484436</v>
      </c>
    </row>
    <row r="207" spans="2:10" ht="16.5" thickTop="1" x14ac:dyDescent="0.25">
      <c r="C207" s="300"/>
      <c r="D207" s="300"/>
      <c r="E207" s="300"/>
      <c r="F207" s="300"/>
      <c r="G207" s="300"/>
      <c r="H207" s="300"/>
      <c r="I207" s="300"/>
      <c r="J207" s="300"/>
    </row>
    <row r="208" spans="2:10" x14ac:dyDescent="0.25">
      <c r="C208" s="300"/>
      <c r="D208" s="300"/>
      <c r="E208" s="300"/>
      <c r="F208" s="300"/>
      <c r="G208" s="300"/>
      <c r="H208" s="300"/>
      <c r="I208" s="300"/>
      <c r="J208" s="300"/>
    </row>
    <row r="209" spans="2:11" x14ac:dyDescent="0.25">
      <c r="C209" s="300"/>
      <c r="D209" s="300"/>
      <c r="E209" s="300"/>
      <c r="F209" s="300"/>
      <c r="G209" s="300"/>
      <c r="H209" s="300"/>
      <c r="I209" s="300"/>
      <c r="J209" s="300"/>
    </row>
    <row r="210" spans="2:11" ht="16.5" thickBot="1" x14ac:dyDescent="0.3">
      <c r="B210" s="321" t="s">
        <v>243</v>
      </c>
      <c r="C210" s="322"/>
      <c r="D210" s="322"/>
      <c r="E210" s="322"/>
      <c r="F210" s="322"/>
      <c r="G210" s="322"/>
      <c r="H210" s="322"/>
      <c r="I210" s="322"/>
      <c r="J210" s="322"/>
    </row>
    <row r="211" spans="2:11" x14ac:dyDescent="0.25">
      <c r="C211" s="293">
        <f>C183</f>
        <v>2022</v>
      </c>
      <c r="D211" s="293">
        <f t="shared" ref="D211:J211" si="79">D183</f>
        <v>2023</v>
      </c>
      <c r="E211" s="293">
        <f t="shared" si="79"/>
        <v>2024</v>
      </c>
      <c r="F211" s="294">
        <f t="shared" si="79"/>
        <v>2025</v>
      </c>
      <c r="G211" s="294">
        <f t="shared" si="79"/>
        <v>2026</v>
      </c>
      <c r="H211" s="294">
        <f t="shared" si="79"/>
        <v>2027</v>
      </c>
      <c r="I211" s="294">
        <f t="shared" si="79"/>
        <v>2028</v>
      </c>
      <c r="J211" s="294">
        <f t="shared" si="79"/>
        <v>2029</v>
      </c>
    </row>
    <row r="212" spans="2:11" x14ac:dyDescent="0.25">
      <c r="B212" s="126" t="s">
        <v>729</v>
      </c>
    </row>
    <row r="213" spans="2:11" x14ac:dyDescent="0.25">
      <c r="B213" s="126" t="str">
        <f>'Data Source Table'!A374</f>
        <v>ASSETS</v>
      </c>
    </row>
    <row r="214" spans="2:11" x14ac:dyDescent="0.25">
      <c r="B214" s="126" t="str">
        <f>'Data Source Table'!A377</f>
        <v xml:space="preserve">  Total Cash &amp; ST Investments</v>
      </c>
      <c r="C214" s="299">
        <f>'Data Source Table'!E377</f>
        <v>6058.4520000000002</v>
      </c>
      <c r="D214" s="299">
        <f>'Data Source Table'!F377</f>
        <v>7137.8860000000004</v>
      </c>
      <c r="E214" s="299">
        <f>'Data Source Table'!G377</f>
        <v>9583.7389999999996</v>
      </c>
      <c r="F214" s="300">
        <f>F258-F218-SUM(F220:F222)-F227-SUM(F229:F231)</f>
        <v>23834.946242121921</v>
      </c>
      <c r="G214" s="300">
        <f t="shared" ref="G214:J214" si="80">G258-G218-SUM(G220:G222)-G227-SUM(G229:G231)</f>
        <v>38409.879269362595</v>
      </c>
      <c r="H214" s="300">
        <f t="shared" si="80"/>
        <v>58859.74840670557</v>
      </c>
      <c r="I214" s="300">
        <f t="shared" si="80"/>
        <v>90849.080008880264</v>
      </c>
      <c r="J214" s="300">
        <f t="shared" si="80"/>
        <v>149151.10033455986</v>
      </c>
      <c r="K214" s="300"/>
    </row>
    <row r="215" spans="2:11" x14ac:dyDescent="0.25">
      <c r="B215" s="126"/>
      <c r="C215" s="299"/>
      <c r="D215" s="299"/>
      <c r="E215" s="299"/>
      <c r="F215" s="300"/>
      <c r="G215" s="300"/>
      <c r="H215" s="300"/>
      <c r="I215" s="300"/>
      <c r="J215" s="300"/>
      <c r="K215" s="300"/>
    </row>
    <row r="216" spans="2:11" x14ac:dyDescent="0.25">
      <c r="B216" s="126" t="str">
        <f>'Data Source Table'!A379</f>
        <v>Accounts Receivable</v>
      </c>
      <c r="C216" s="299">
        <f>'Data Source Table'!E379</f>
        <v>988.89800000000002</v>
      </c>
      <c r="D216" s="299">
        <f>'Data Source Table'!F379</f>
        <v>1287.0540000000001</v>
      </c>
      <c r="E216" s="299">
        <f>'Data Source Table'!G379</f>
        <v>1335.3040000000001</v>
      </c>
      <c r="F216" s="300">
        <f>F163</f>
        <v>1388.1662015444092</v>
      </c>
      <c r="G216" s="300">
        <f t="shared" ref="G216:J216" si="81">G163</f>
        <v>1591.7734043362686</v>
      </c>
      <c r="H216" s="300">
        <f t="shared" si="81"/>
        <v>1825.2443892765505</v>
      </c>
      <c r="I216" s="300">
        <f t="shared" si="81"/>
        <v>2092.9593819760362</v>
      </c>
      <c r="J216" s="300">
        <f t="shared" si="81"/>
        <v>2399.9410710900729</v>
      </c>
      <c r="K216" s="300"/>
    </row>
    <row r="217" spans="2:11" x14ac:dyDescent="0.25">
      <c r="B217" s="126" t="str">
        <f>'Data Source Table'!A380</f>
        <v>Other Receivables</v>
      </c>
      <c r="C217" s="299">
        <f>'Data Source Table'!E380</f>
        <v>598</v>
      </c>
      <c r="D217" s="299">
        <f>'Data Source Table'!F380</f>
        <v>555</v>
      </c>
      <c r="E217" s="299">
        <f>'Data Source Table'!G380</f>
        <v>653</v>
      </c>
      <c r="F217" s="300">
        <f t="shared" ref="F217:J217" si="82">F164</f>
        <v>776.89052609113946</v>
      </c>
      <c r="G217" s="300">
        <f t="shared" si="82"/>
        <v>890.83978282778128</v>
      </c>
      <c r="H217" s="300">
        <f t="shared" si="82"/>
        <v>1021.5023764822554</v>
      </c>
      <c r="I217" s="300">
        <f t="shared" si="82"/>
        <v>1171.3297107664314</v>
      </c>
      <c r="J217" s="300">
        <f t="shared" si="82"/>
        <v>1343.1327453676315</v>
      </c>
      <c r="K217" s="300"/>
    </row>
    <row r="218" spans="2:11" x14ac:dyDescent="0.25">
      <c r="B218" s="126" t="str">
        <f>'Data Source Table'!A381</f>
        <v xml:space="preserve">  Total Receivables</v>
      </c>
      <c r="C218" s="299">
        <f>'Data Source Table'!E381</f>
        <v>1586.8979999999999</v>
      </c>
      <c r="D218" s="299">
        <f>'Data Source Table'!F381</f>
        <v>1842.0540000000001</v>
      </c>
      <c r="E218" s="299">
        <f>'Data Source Table'!G381</f>
        <v>1988.3040000000001</v>
      </c>
      <c r="F218" s="300">
        <f>SUM(F216:F217)</f>
        <v>2165.0567276355487</v>
      </c>
      <c r="G218" s="300">
        <f t="shared" ref="G218:J218" si="83">SUM(G216:G217)</f>
        <v>2482.61318716405</v>
      </c>
      <c r="H218" s="300">
        <f t="shared" si="83"/>
        <v>2846.7467657588059</v>
      </c>
      <c r="I218" s="300">
        <f t="shared" si="83"/>
        <v>3264.2890927424678</v>
      </c>
      <c r="J218" s="300">
        <f t="shared" si="83"/>
        <v>3743.0738164577042</v>
      </c>
      <c r="K218" s="300"/>
    </row>
    <row r="219" spans="2:11" x14ac:dyDescent="0.25">
      <c r="B219" s="126"/>
      <c r="C219" s="299"/>
      <c r="D219" s="299"/>
      <c r="E219" s="299"/>
      <c r="F219" s="300"/>
      <c r="G219" s="300"/>
      <c r="H219" s="300"/>
      <c r="I219" s="300"/>
      <c r="J219" s="300"/>
      <c r="K219" s="300"/>
    </row>
    <row r="220" spans="2:11" x14ac:dyDescent="0.25">
      <c r="B220" s="126" t="str">
        <f>'Data Source Table'!A383</f>
        <v>Prepaid Exp.</v>
      </c>
      <c r="C220" s="299">
        <f>'Data Source Table'!E383</f>
        <v>392.73500000000001</v>
      </c>
      <c r="D220" s="299">
        <f>'Data Source Table'!F383</f>
        <v>408.93599999999998</v>
      </c>
      <c r="E220" s="299">
        <f>'Data Source Table'!G383</f>
        <v>431.92399999999998</v>
      </c>
      <c r="F220" s="300">
        <f>F165</f>
        <v>488.75780924952176</v>
      </c>
      <c r="G220" s="300">
        <f t="shared" ref="G220:J220" si="84">G165</f>
        <v>560.44563040037315</v>
      </c>
      <c r="H220" s="300">
        <f t="shared" si="84"/>
        <v>642.64815557047586</v>
      </c>
      <c r="I220" s="300">
        <f t="shared" si="84"/>
        <v>736.90761325607366</v>
      </c>
      <c r="J220" s="300">
        <f t="shared" si="84"/>
        <v>844.99243601300816</v>
      </c>
      <c r="K220" s="300"/>
    </row>
    <row r="221" spans="2:11" x14ac:dyDescent="0.25">
      <c r="B221" s="126" t="str">
        <f>'Data Source Table'!A384</f>
        <v>Restricted Cash</v>
      </c>
      <c r="C221" s="299">
        <f>'Data Source Table'!E384</f>
        <v>3.41</v>
      </c>
      <c r="D221" s="299" t="str">
        <f>'Data Source Table'!F384</f>
        <v>-</v>
      </c>
      <c r="E221" s="299" t="str">
        <f>'Data Source Table'!G384</f>
        <v>-</v>
      </c>
      <c r="F221" s="300">
        <v>1</v>
      </c>
      <c r="G221" s="300">
        <v>1</v>
      </c>
      <c r="H221" s="300">
        <v>1</v>
      </c>
      <c r="I221" s="300">
        <v>1</v>
      </c>
      <c r="J221" s="300">
        <v>1</v>
      </c>
      <c r="K221" s="300"/>
    </row>
    <row r="222" spans="2:11" x14ac:dyDescent="0.25">
      <c r="B222" s="126" t="str">
        <f>'Data Source Table'!A385</f>
        <v>Other Current Assets</v>
      </c>
      <c r="C222" s="299">
        <f>'Data Source Table'!E385</f>
        <v>1224.9780000000001</v>
      </c>
      <c r="D222" s="299">
        <f>'Data Source Table'!F385</f>
        <v>529.25699999999995</v>
      </c>
      <c r="E222" s="299">
        <f>'Data Source Table'!G385</f>
        <v>1096.412</v>
      </c>
      <c r="F222" s="300">
        <f>F166</f>
        <v>1278.2484275308032</v>
      </c>
      <c r="G222" s="300">
        <f t="shared" ref="G222:J222" si="85">G166</f>
        <v>1465.7336051075845</v>
      </c>
      <c r="H222" s="300">
        <f t="shared" si="85"/>
        <v>1680.7178908811175</v>
      </c>
      <c r="I222" s="300">
        <f t="shared" si="85"/>
        <v>1927.2346754446769</v>
      </c>
      <c r="J222" s="300">
        <f t="shared" si="85"/>
        <v>2209.9089409283079</v>
      </c>
      <c r="K222" s="300"/>
    </row>
    <row r="223" spans="2:11" s="126" customFormat="1" x14ac:dyDescent="0.25">
      <c r="B223" s="126" t="str">
        <f>'Data Source Table'!A386</f>
        <v xml:space="preserve">  Total Current Assets</v>
      </c>
      <c r="C223" s="318">
        <f>'Data Source Table'!E386</f>
        <v>9266.473</v>
      </c>
      <c r="D223" s="318">
        <f>'Data Source Table'!F386</f>
        <v>9918.1329999999998</v>
      </c>
      <c r="E223" s="318">
        <f>'Data Source Table'!G386</f>
        <v>13100.379000000001</v>
      </c>
      <c r="F223" s="307">
        <f>F214+F218+F220+F221+F222</f>
        <v>27768.009206537794</v>
      </c>
      <c r="G223" s="307">
        <f t="shared" ref="G223:J223" si="86">G214+G218+G220+G221+G222</f>
        <v>42919.671692034601</v>
      </c>
      <c r="H223" s="307">
        <f t="shared" si="86"/>
        <v>64030.861218915968</v>
      </c>
      <c r="I223" s="307">
        <f t="shared" si="86"/>
        <v>96778.511390323489</v>
      </c>
      <c r="J223" s="307">
        <f t="shared" si="86"/>
        <v>155950.07552795889</v>
      </c>
      <c r="K223" s="307"/>
    </row>
    <row r="224" spans="2:11" x14ac:dyDescent="0.25">
      <c r="B224" s="126"/>
      <c r="C224" s="299"/>
      <c r="D224" s="299"/>
      <c r="E224" s="299"/>
      <c r="F224" s="300"/>
      <c r="G224" s="300"/>
      <c r="H224" s="300"/>
      <c r="I224" s="300"/>
      <c r="J224" s="300"/>
      <c r="K224" s="300"/>
    </row>
    <row r="225" spans="2:11" x14ac:dyDescent="0.25">
      <c r="B225" s="126" t="str">
        <f>'Data Source Table'!A388</f>
        <v>Gross Property, Plant &amp; Equipment</v>
      </c>
      <c r="C225" s="299">
        <f>'Data Source Table'!E388</f>
        <v>4379.12</v>
      </c>
      <c r="D225" s="299">
        <f>'Data Source Table'!F388</f>
        <v>4423.3860000000004</v>
      </c>
      <c r="E225" s="299">
        <f>'Data Source Table'!G388</f>
        <v>4613.6030000000001</v>
      </c>
      <c r="F225" s="300">
        <f>F57/1000</f>
        <v>2911.9287963366428</v>
      </c>
      <c r="G225" s="300">
        <f t="shared" ref="G225:J225" si="87">G57/1000</f>
        <v>3339.0316002311247</v>
      </c>
      <c r="H225" s="300">
        <f t="shared" si="87"/>
        <v>3828.7790695185308</v>
      </c>
      <c r="I225" s="300">
        <f t="shared" si="87"/>
        <v>4390.3595168636512</v>
      </c>
      <c r="J225" s="300">
        <f t="shared" si="87"/>
        <v>5034.308936958093</v>
      </c>
      <c r="K225" s="300"/>
    </row>
    <row r="226" spans="2:11" x14ac:dyDescent="0.25">
      <c r="B226" s="126" t="str">
        <f>'Data Source Table'!A389</f>
        <v>Accumulated Depreciation</v>
      </c>
      <c r="C226" s="299">
        <f>'Data Source Table'!E389</f>
        <v>-753.7</v>
      </c>
      <c r="D226" s="299">
        <f>'Data Source Table'!F389</f>
        <v>-855</v>
      </c>
      <c r="E226" s="299">
        <f>'Data Source Table'!G389</f>
        <v>-917.5</v>
      </c>
      <c r="F226" s="300">
        <f>F58/1000</f>
        <v>-1131.0213666666666</v>
      </c>
      <c r="G226" s="300">
        <f t="shared" ref="G226:J226" si="88">G58/1000</f>
        <v>-1344.591318428149</v>
      </c>
      <c r="H226" s="300">
        <f t="shared" si="88"/>
        <v>-1558.1997142631126</v>
      </c>
      <c r="I226" s="300">
        <f t="shared" si="88"/>
        <v>-1771.8521928985745</v>
      </c>
      <c r="J226" s="300">
        <f t="shared" si="88"/>
        <v>-1985.5552201134099</v>
      </c>
      <c r="K226" s="300"/>
    </row>
    <row r="227" spans="2:11" s="126" customFormat="1" x14ac:dyDescent="0.25">
      <c r="B227" s="126" t="str">
        <f>'Data Source Table'!A390</f>
        <v xml:space="preserve">  Net Property, Plant &amp; Equipment</v>
      </c>
      <c r="C227" s="318">
        <f>'Data Source Table'!E390</f>
        <v>3625.3789999999999</v>
      </c>
      <c r="D227" s="318">
        <f>'Data Source Table'!F390</f>
        <v>3568.3429999999998</v>
      </c>
      <c r="E227" s="318">
        <f>'Data Source Table'!G390</f>
        <v>3696.0659999999998</v>
      </c>
      <c r="F227" s="307">
        <f>SUM(F225:F226)</f>
        <v>1780.9074296699762</v>
      </c>
      <c r="G227" s="307">
        <f t="shared" ref="G227:J227" si="89">SUM(G225:G226)</f>
        <v>1994.4402818029757</v>
      </c>
      <c r="H227" s="307">
        <f t="shared" si="89"/>
        <v>2270.5793552554182</v>
      </c>
      <c r="I227" s="307">
        <f t="shared" si="89"/>
        <v>2618.5073239650765</v>
      </c>
      <c r="J227" s="307">
        <f t="shared" si="89"/>
        <v>3048.7537168446834</v>
      </c>
      <c r="K227" s="307"/>
    </row>
    <row r="228" spans="2:11" x14ac:dyDescent="0.25">
      <c r="B228" s="126"/>
      <c r="C228" s="299"/>
      <c r="D228" s="299"/>
      <c r="E228" s="299"/>
      <c r="F228" s="300"/>
      <c r="G228" s="300"/>
      <c r="H228" s="300"/>
      <c r="I228" s="300"/>
      <c r="J228" s="300"/>
      <c r="K228" s="300"/>
    </row>
    <row r="229" spans="2:11" x14ac:dyDescent="0.25">
      <c r="B229" s="126" t="str">
        <f>'Data Source Table'!A392</f>
        <v>Other Intangibles</v>
      </c>
      <c r="C229" s="299">
        <f>'Data Source Table'!E392</f>
        <v>12732.549000000001</v>
      </c>
      <c r="D229" s="299">
        <f>'Data Source Table'!F392</f>
        <v>12722.700999999999</v>
      </c>
      <c r="E229" s="299">
        <f>'Data Source Table'!G392</f>
        <v>12422.308999999999</v>
      </c>
      <c r="F229" s="300">
        <f>E229</f>
        <v>12422.308999999999</v>
      </c>
      <c r="G229" s="300">
        <f t="shared" ref="G229:J229" si="90">F229</f>
        <v>12422.308999999999</v>
      </c>
      <c r="H229" s="300">
        <f t="shared" si="90"/>
        <v>12422.308999999999</v>
      </c>
      <c r="I229" s="300">
        <f t="shared" si="90"/>
        <v>12422.308999999999</v>
      </c>
      <c r="J229" s="300">
        <f t="shared" si="90"/>
        <v>12422.308999999999</v>
      </c>
      <c r="K229" s="300"/>
    </row>
    <row r="230" spans="2:11" x14ac:dyDescent="0.25">
      <c r="B230" s="126" t="str">
        <f>'Data Source Table'!A393</f>
        <v>Deferred Tax Assets, LT</v>
      </c>
      <c r="C230" s="299">
        <f>'Data Source Table'!E393</f>
        <v>261.541</v>
      </c>
      <c r="D230" s="299">
        <f>'Data Source Table'!F393</f>
        <v>1000.76</v>
      </c>
      <c r="E230" s="299">
        <f>'Data Source Table'!G393</f>
        <v>1290.1600000000001</v>
      </c>
      <c r="F230" s="300">
        <f>E230</f>
        <v>1290.1600000000001</v>
      </c>
      <c r="G230" s="300">
        <f t="shared" ref="G230:J230" si="91">F230</f>
        <v>1290.1600000000001</v>
      </c>
      <c r="H230" s="300">
        <f t="shared" si="91"/>
        <v>1290.1600000000001</v>
      </c>
      <c r="I230" s="300">
        <f t="shared" si="91"/>
        <v>1290.1600000000001</v>
      </c>
      <c r="J230" s="300">
        <f t="shared" si="91"/>
        <v>1290.1600000000001</v>
      </c>
      <c r="K230" s="300"/>
    </row>
    <row r="231" spans="2:11" x14ac:dyDescent="0.25">
      <c r="B231" s="126" t="str">
        <f>'Data Source Table'!A394</f>
        <v>Other Long-Term Assets</v>
      </c>
      <c r="C231" s="299">
        <f>'Data Source Table'!E394</f>
        <v>22708.826000000001</v>
      </c>
      <c r="D231" s="299">
        <f>'Data Source Table'!F394</f>
        <v>21522.055</v>
      </c>
      <c r="E231" s="299">
        <f>'Data Source Table'!G394</f>
        <v>23121.46</v>
      </c>
      <c r="F231" s="300">
        <f>E231</f>
        <v>23121.46</v>
      </c>
      <c r="G231" s="300">
        <f t="shared" ref="G231:J231" si="92">F231</f>
        <v>23121.46</v>
      </c>
      <c r="H231" s="300">
        <f t="shared" si="92"/>
        <v>23121.46</v>
      </c>
      <c r="I231" s="300">
        <f t="shared" si="92"/>
        <v>23121.46</v>
      </c>
      <c r="J231" s="300">
        <f t="shared" si="92"/>
        <v>23121.46</v>
      </c>
      <c r="K231" s="300"/>
    </row>
    <row r="232" spans="2:11" x14ac:dyDescent="0.25">
      <c r="B232" s="126" t="str">
        <f>'Data Source Table'!A395</f>
        <v>Total Assets</v>
      </c>
      <c r="C232" s="318">
        <f>'Data Source Table'!E395</f>
        <v>48594.767999999996</v>
      </c>
      <c r="D232" s="318">
        <f>'Data Source Table'!F395</f>
        <v>48731.991999999998</v>
      </c>
      <c r="E232" s="318">
        <f>'Data Source Table'!G395</f>
        <v>53630.374000000003</v>
      </c>
      <c r="F232" s="307">
        <f>F223+F227+F229+F230+F231</f>
        <v>66382.84563620777</v>
      </c>
      <c r="G232" s="307">
        <f t="shared" ref="G232:J232" si="93">G223+G227+G229+G230+G231</f>
        <v>81748.040973837575</v>
      </c>
      <c r="H232" s="307">
        <f t="shared" si="93"/>
        <v>103135.36957417137</v>
      </c>
      <c r="I232" s="307">
        <f t="shared" si="93"/>
        <v>136230.94771428857</v>
      </c>
      <c r="J232" s="307">
        <f t="shared" si="93"/>
        <v>195832.75824480358</v>
      </c>
      <c r="K232" s="300"/>
    </row>
    <row r="233" spans="2:11" x14ac:dyDescent="0.25">
      <c r="B233" s="126"/>
      <c r="C233" s="299"/>
      <c r="D233" s="299"/>
      <c r="E233" s="299"/>
      <c r="F233" s="300"/>
      <c r="G233" s="300"/>
      <c r="H233" s="300"/>
      <c r="I233" s="300"/>
      <c r="J233" s="300"/>
      <c r="K233" s="300"/>
    </row>
    <row r="234" spans="2:11" x14ac:dyDescent="0.25">
      <c r="B234" s="126" t="str">
        <f>'Data Source Table'!A397</f>
        <v>LIABILITIES</v>
      </c>
      <c r="C234" s="299"/>
      <c r="D234" s="299"/>
      <c r="E234" s="299"/>
      <c r="F234" s="300"/>
      <c r="G234" s="300"/>
      <c r="H234" s="300"/>
      <c r="I234" s="300"/>
      <c r="J234" s="300"/>
      <c r="K234" s="300"/>
    </row>
    <row r="235" spans="2:11" x14ac:dyDescent="0.25">
      <c r="B235" s="126" t="str">
        <f>'Data Source Table'!A398</f>
        <v>Accounts Payable</v>
      </c>
      <c r="C235" s="299">
        <f>'Data Source Table'!E398</f>
        <v>671.51300000000003</v>
      </c>
      <c r="D235" s="299">
        <f>'Data Source Table'!F398</f>
        <v>747.41200000000003</v>
      </c>
      <c r="E235" s="299">
        <f>'Data Source Table'!G398</f>
        <v>899.90899999999999</v>
      </c>
      <c r="F235" s="300">
        <f t="shared" ref="F235:F240" si="94">F170</f>
        <v>1081.6213040215969</v>
      </c>
      <c r="G235" s="300">
        <f t="shared" ref="G235:J235" si="95">G170</f>
        <v>1240.2664921459784</v>
      </c>
      <c r="H235" s="300">
        <f t="shared" si="95"/>
        <v>1422.1807261198096</v>
      </c>
      <c r="I235" s="300">
        <f t="shared" si="95"/>
        <v>1630.7769584640287</v>
      </c>
      <c r="J235" s="300">
        <f t="shared" si="95"/>
        <v>1869.9687314094206</v>
      </c>
      <c r="K235" s="300"/>
    </row>
    <row r="236" spans="2:11" x14ac:dyDescent="0.25">
      <c r="B236" s="126" t="str">
        <f>'Data Source Table'!A399</f>
        <v>Accrued Exp.</v>
      </c>
      <c r="C236" s="299">
        <f>'Data Source Table'!E399</f>
        <v>1158.665</v>
      </c>
      <c r="D236" s="299">
        <f>'Data Source Table'!F399</f>
        <v>1280.559</v>
      </c>
      <c r="E236" s="299">
        <f>'Data Source Table'!G399</f>
        <v>1410.145</v>
      </c>
      <c r="F236" s="300">
        <f t="shared" si="94"/>
        <v>1635.1531029783444</v>
      </c>
      <c r="G236" s="300">
        <f t="shared" ref="G236:J236" si="96">G171</f>
        <v>1874.9867403795781</v>
      </c>
      <c r="H236" s="300">
        <f t="shared" si="96"/>
        <v>2149.9976180798008</v>
      </c>
      <c r="I236" s="300">
        <f t="shared" si="96"/>
        <v>2465.345305222279</v>
      </c>
      <c r="J236" s="300">
        <f t="shared" si="96"/>
        <v>2826.9461430426286</v>
      </c>
      <c r="K236" s="300"/>
    </row>
    <row r="237" spans="2:11" x14ac:dyDescent="0.25">
      <c r="B237" s="126" t="str">
        <f>'Data Source Table'!A400</f>
        <v>Curr. Port. of LT Debt</v>
      </c>
      <c r="C237" s="299" t="str">
        <f>'Data Source Table'!E400</f>
        <v>-</v>
      </c>
      <c r="D237" s="299">
        <f>'Data Source Table'!F400</f>
        <v>399.84399999999999</v>
      </c>
      <c r="E237" s="299">
        <f>'Data Source Table'!G400</f>
        <v>1784.453</v>
      </c>
      <c r="F237" s="300">
        <f t="shared" si="94"/>
        <v>1131.1571537743162</v>
      </c>
      <c r="G237" s="300">
        <f t="shared" ref="G237:J237" si="97">G172</f>
        <v>1297.0679386225247</v>
      </c>
      <c r="H237" s="300">
        <f t="shared" si="97"/>
        <v>1487.3134398601421</v>
      </c>
      <c r="I237" s="300">
        <f t="shared" si="97"/>
        <v>1705.4629156417523</v>
      </c>
      <c r="J237" s="300">
        <f t="shared" si="97"/>
        <v>1955.6091397269793</v>
      </c>
      <c r="K237" s="300"/>
    </row>
    <row r="238" spans="2:11" x14ac:dyDescent="0.25">
      <c r="B238" s="126" t="str">
        <f>'Data Source Table'!A401</f>
        <v>Curr. Port. of Leases</v>
      </c>
      <c r="C238" s="299">
        <f>'Data Source Table'!E401</f>
        <v>355.98500000000001</v>
      </c>
      <c r="D238" s="299">
        <f>'Data Source Table'!F401</f>
        <v>383.31200000000001</v>
      </c>
      <c r="E238" s="299">
        <f>'Data Source Table'!G401</f>
        <v>428.48200000000003</v>
      </c>
      <c r="F238" s="300">
        <f t="shared" si="94"/>
        <v>487.2519047589102</v>
      </c>
      <c r="G238" s="300">
        <f t="shared" ref="G238:J238" si="98">G173</f>
        <v>558.71884961939804</v>
      </c>
      <c r="H238" s="300">
        <f t="shared" si="98"/>
        <v>640.66810179938045</v>
      </c>
      <c r="I238" s="300">
        <f t="shared" si="98"/>
        <v>734.63713805758607</v>
      </c>
      <c r="J238" s="300">
        <f t="shared" si="98"/>
        <v>842.38894225834338</v>
      </c>
      <c r="K238" s="300"/>
    </row>
    <row r="239" spans="2:11" x14ac:dyDescent="0.25">
      <c r="B239" s="126" t="str">
        <f>'Data Source Table'!A402</f>
        <v>Unearned Revenue, Current</v>
      </c>
      <c r="C239" s="299">
        <f>'Data Source Table'!E402</f>
        <v>1264.6610000000001</v>
      </c>
      <c r="D239" s="299">
        <f>'Data Source Table'!F402</f>
        <v>1442.9690000000001</v>
      </c>
      <c r="E239" s="299">
        <f>'Data Source Table'!G402</f>
        <v>1520.8130000000001</v>
      </c>
      <c r="F239" s="300">
        <f t="shared" si="94"/>
        <v>1853.54862497213</v>
      </c>
      <c r="G239" s="300">
        <f t="shared" ref="G239:J239" si="99">G174</f>
        <v>2125.415099137399</v>
      </c>
      <c r="H239" s="300">
        <f t="shared" si="99"/>
        <v>2437.1571820562094</v>
      </c>
      <c r="I239" s="300">
        <f t="shared" si="99"/>
        <v>2794.6235690424951</v>
      </c>
      <c r="J239" s="300">
        <f t="shared" si="99"/>
        <v>3204.5208040536168</v>
      </c>
      <c r="K239" s="300"/>
    </row>
    <row r="240" spans="2:11" x14ac:dyDescent="0.25">
      <c r="B240" s="101" t="str">
        <f>'Data Source Table'!A403</f>
        <v>Other Current Liabilities</v>
      </c>
      <c r="C240" s="299">
        <f>'Data Source Table'!E403</f>
        <v>4480.1499999999996</v>
      </c>
      <c r="D240" s="299">
        <f>'Data Source Table'!F403</f>
        <v>4606.5590000000002</v>
      </c>
      <c r="E240" s="299">
        <f>'Data Source Table'!G403</f>
        <v>4711.598</v>
      </c>
      <c r="F240" s="300">
        <f t="shared" si="94"/>
        <v>6447.7474986517036</v>
      </c>
      <c r="G240" s="300">
        <f t="shared" ref="G240:J240" si="100">G175</f>
        <v>7393.4612259043288</v>
      </c>
      <c r="H240" s="300">
        <f t="shared" si="100"/>
        <v>8477.8861005927174</v>
      </c>
      <c r="I240" s="300">
        <f t="shared" si="100"/>
        <v>9721.3673729426882</v>
      </c>
      <c r="J240" s="300">
        <f t="shared" si="100"/>
        <v>11147.234402347945</v>
      </c>
      <c r="K240" s="300"/>
    </row>
    <row r="241" spans="2:11" x14ac:dyDescent="0.25">
      <c r="B241" s="126" t="str">
        <f>'Data Source Table'!A404</f>
        <v xml:space="preserve">  Total Current Liabilities</v>
      </c>
      <c r="C241" s="299">
        <f>'Data Source Table'!E404</f>
        <v>7930.9740000000002</v>
      </c>
      <c r="D241" s="299">
        <f>'Data Source Table'!F404</f>
        <v>8860.6550000000007</v>
      </c>
      <c r="E241" s="299">
        <f>'Data Source Table'!G404</f>
        <v>10755.4</v>
      </c>
      <c r="F241" s="300">
        <f>SUM(F235:F240)</f>
        <v>12636.479589157001</v>
      </c>
      <c r="G241" s="300">
        <f t="shared" ref="G241:J241" si="101">SUM(G235:G240)</f>
        <v>14489.916345809208</v>
      </c>
      <c r="H241" s="300">
        <f t="shared" si="101"/>
        <v>16615.203168508058</v>
      </c>
      <c r="I241" s="300">
        <f t="shared" si="101"/>
        <v>19052.21325937083</v>
      </c>
      <c r="J241" s="300">
        <f t="shared" si="101"/>
        <v>21846.668162838934</v>
      </c>
      <c r="K241" s="300"/>
    </row>
    <row r="242" spans="2:11" x14ac:dyDescent="0.25">
      <c r="B242" s="126"/>
      <c r="C242" s="299"/>
      <c r="D242" s="299"/>
      <c r="E242" s="299"/>
      <c r="F242" s="300"/>
      <c r="G242" s="300"/>
      <c r="H242" s="300"/>
      <c r="I242" s="300"/>
      <c r="J242" s="300"/>
      <c r="K242" s="300"/>
    </row>
    <row r="243" spans="2:11" x14ac:dyDescent="0.25">
      <c r="B243" s="126" t="str">
        <f>'Data Source Table'!A406</f>
        <v>Long-Term Debt</v>
      </c>
      <c r="C243" s="299">
        <f>'Data Source Table'!E406</f>
        <v>14353.075999999999</v>
      </c>
      <c r="D243" s="299">
        <f>'Data Source Table'!F406</f>
        <v>14143.416999999999</v>
      </c>
      <c r="E243" s="299">
        <f>'Data Source Table'!G406</f>
        <v>13798.351000000001</v>
      </c>
      <c r="F243" s="300">
        <f>F154</f>
        <v>15322.369999999999</v>
      </c>
      <c r="G243" s="300">
        <f t="shared" ref="G243:J243" si="102">G154</f>
        <v>16088.488499999999</v>
      </c>
      <c r="H243" s="300">
        <f t="shared" si="102"/>
        <v>16892.912925000001</v>
      </c>
      <c r="I243" s="300">
        <f t="shared" si="102"/>
        <v>17737.55857125</v>
      </c>
      <c r="J243" s="300">
        <f t="shared" si="102"/>
        <v>18624.436499812498</v>
      </c>
      <c r="K243" s="300"/>
    </row>
    <row r="244" spans="2:11" x14ac:dyDescent="0.25">
      <c r="B244" s="126" t="str">
        <f>'Data Source Table'!A407</f>
        <v>Long-Term Leases</v>
      </c>
      <c r="C244" s="299">
        <f>'Data Source Table'!E407</f>
        <v>2222.5030000000002</v>
      </c>
      <c r="D244" s="299">
        <f>'Data Source Table'!F407</f>
        <v>2046.8009999999999</v>
      </c>
      <c r="E244" s="299">
        <f>'Data Source Table'!G407</f>
        <v>1983.6880000000001</v>
      </c>
      <c r="F244" s="300">
        <f>E244+'Assumption Table'!R41</f>
        <v>1983.6880000000001</v>
      </c>
      <c r="G244" s="300">
        <f>F244+'Assumption Table'!S41</f>
        <v>1983.6880000000001</v>
      </c>
      <c r="H244" s="300">
        <f>G244+'Assumption Table'!T41</f>
        <v>1983.6880000000001</v>
      </c>
      <c r="I244" s="300">
        <f>H244+'Assumption Table'!U41</f>
        <v>1983.6880000000001</v>
      </c>
      <c r="J244" s="300">
        <f>I244+'Assumption Table'!V41</f>
        <v>1983.6880000000001</v>
      </c>
      <c r="K244" s="300"/>
    </row>
    <row r="245" spans="2:11" x14ac:dyDescent="0.25">
      <c r="B245" s="126" t="str">
        <f>'Data Source Table'!A408</f>
        <v>Def. Tax Liability, Non-Curr.</v>
      </c>
      <c r="C245" s="299" t="str">
        <f>'Data Source Table'!E408</f>
        <v>-</v>
      </c>
      <c r="D245" s="299">
        <f>'Data Source Table'!F408</f>
        <v>126.21</v>
      </c>
      <c r="E245" s="299">
        <f>'Data Source Table'!G408</f>
        <v>112.602</v>
      </c>
      <c r="F245" s="300">
        <f>E245</f>
        <v>112.602</v>
      </c>
      <c r="G245" s="300">
        <f t="shared" ref="G245:J246" si="103">F245</f>
        <v>112.602</v>
      </c>
      <c r="H245" s="300">
        <f t="shared" si="103"/>
        <v>112.602</v>
      </c>
      <c r="I245" s="300">
        <f t="shared" si="103"/>
        <v>112.602</v>
      </c>
      <c r="J245" s="300">
        <f t="shared" si="103"/>
        <v>112.602</v>
      </c>
      <c r="K245" s="300"/>
    </row>
    <row r="246" spans="2:11" x14ac:dyDescent="0.25">
      <c r="B246" s="126" t="str">
        <f>'Data Source Table'!A409</f>
        <v>Other Non-Current Liabilities</v>
      </c>
      <c r="C246" s="299">
        <f>'Data Source Table'!E409</f>
        <v>3310.8139999999999</v>
      </c>
      <c r="D246" s="299">
        <f>'Data Source Table'!F409</f>
        <v>2966.596</v>
      </c>
      <c r="E246" s="299">
        <f>'Data Source Table'!G409</f>
        <v>2236.7660000000001</v>
      </c>
      <c r="F246" s="300">
        <f>E246</f>
        <v>2236.7660000000001</v>
      </c>
      <c r="G246" s="300">
        <f t="shared" si="103"/>
        <v>2236.7660000000001</v>
      </c>
      <c r="H246" s="300">
        <f t="shared" si="103"/>
        <v>2236.7660000000001</v>
      </c>
      <c r="I246" s="300">
        <f t="shared" si="103"/>
        <v>2236.7660000000001</v>
      </c>
      <c r="J246" s="300">
        <f t="shared" si="103"/>
        <v>2236.7660000000001</v>
      </c>
      <c r="K246" s="300"/>
    </row>
    <row r="247" spans="2:11" s="126" customFormat="1" x14ac:dyDescent="0.25">
      <c r="B247" s="126" t="str">
        <f>'Data Source Table'!A410</f>
        <v>Total Liabilities</v>
      </c>
      <c r="C247" s="318">
        <f>'Data Source Table'!E410</f>
        <v>27817.366999999998</v>
      </c>
      <c r="D247" s="318">
        <f>'Data Source Table'!F410</f>
        <v>28143.679</v>
      </c>
      <c r="E247" s="318">
        <f>'Data Source Table'!G410</f>
        <v>28886.807000000001</v>
      </c>
      <c r="F247" s="307">
        <f>F241+F243+F244+F245+F246</f>
        <v>32291.905589156999</v>
      </c>
      <c r="G247" s="307">
        <f t="shared" ref="G247:J247" si="104">G241+G243+G244+G245+G246</f>
        <v>34911.460845809212</v>
      </c>
      <c r="H247" s="307">
        <f t="shared" si="104"/>
        <v>37841.172093508059</v>
      </c>
      <c r="I247" s="307">
        <f t="shared" si="104"/>
        <v>41122.82783062083</v>
      </c>
      <c r="J247" s="307">
        <f t="shared" si="104"/>
        <v>44804.160662651433</v>
      </c>
      <c r="K247" s="307"/>
    </row>
    <row r="248" spans="2:11" x14ac:dyDescent="0.25">
      <c r="B248" s="126"/>
      <c r="C248" s="299"/>
      <c r="D248" s="299"/>
      <c r="E248" s="299"/>
      <c r="F248" s="300"/>
      <c r="G248" s="300"/>
      <c r="H248" s="300"/>
      <c r="I248" s="300"/>
      <c r="J248" s="300"/>
      <c r="K248" s="300"/>
    </row>
    <row r="249" spans="2:11" x14ac:dyDescent="0.25">
      <c r="B249" s="126" t="str">
        <f>'Data Source Table'!A412</f>
        <v>Common Stock</v>
      </c>
      <c r="C249" s="299">
        <f>'Data Source Table'!E412</f>
        <v>4637.6009999999997</v>
      </c>
      <c r="D249" s="299">
        <f>'Data Source Table'!F412</f>
        <v>5145.1719999999996</v>
      </c>
      <c r="E249" s="299">
        <f>'Data Source Table'!G412</f>
        <v>6252.1260000000002</v>
      </c>
      <c r="F249" s="300">
        <f>E249</f>
        <v>6252.1260000000002</v>
      </c>
      <c r="G249" s="300">
        <f t="shared" ref="G249:J249" si="105">F249</f>
        <v>6252.1260000000002</v>
      </c>
      <c r="H249" s="300">
        <f t="shared" si="105"/>
        <v>6252.1260000000002</v>
      </c>
      <c r="I249" s="300">
        <f t="shared" si="105"/>
        <v>6252.1260000000002</v>
      </c>
      <c r="J249" s="300">
        <f t="shared" si="105"/>
        <v>6252.1260000000002</v>
      </c>
      <c r="K249" s="300"/>
    </row>
    <row r="250" spans="2:11" x14ac:dyDescent="0.25">
      <c r="B250" s="126" t="str">
        <f>'Data Source Table'!A413</f>
        <v>Additional Paid In Capital</v>
      </c>
      <c r="C250" s="299" t="str">
        <f>'Data Source Table'!E413</f>
        <v>-</v>
      </c>
      <c r="D250" s="299" t="str">
        <f>'Data Source Table'!F413</f>
        <v>-</v>
      </c>
      <c r="E250" s="299" t="str">
        <f>'Data Source Table'!G413</f>
        <v>-</v>
      </c>
      <c r="F250" s="300" t="str">
        <f>E250</f>
        <v>-</v>
      </c>
      <c r="G250" s="300" t="str">
        <f t="shared" ref="G250:J250" si="106">F250</f>
        <v>-</v>
      </c>
      <c r="H250" s="300" t="str">
        <f t="shared" si="106"/>
        <v>-</v>
      </c>
      <c r="I250" s="300" t="str">
        <f t="shared" si="106"/>
        <v>-</v>
      </c>
      <c r="J250" s="300" t="str">
        <f t="shared" si="106"/>
        <v>-</v>
      </c>
      <c r="K250" s="300"/>
    </row>
    <row r="251" spans="2:11" ht="14.25" customHeight="1" x14ac:dyDescent="0.25">
      <c r="B251" s="126" t="str">
        <f>'Data Source Table'!A414</f>
        <v>Retained Earnings</v>
      </c>
      <c r="C251" s="299">
        <f>'Data Source Table'!E414</f>
        <v>17181.295999999998</v>
      </c>
      <c r="D251" s="299">
        <f>'Data Source Table'!F414</f>
        <v>22589.286</v>
      </c>
      <c r="E251" s="299">
        <f>'Data Source Table'!G414</f>
        <v>31300.917000000001</v>
      </c>
      <c r="F251" s="300">
        <f>E251+F206*(1-'Assumption Table'!$Q$35)</f>
        <v>40648.252047050773</v>
      </c>
      <c r="G251" s="300">
        <f>F251+G206*(1-'Assumption Table'!$Q$35)</f>
        <v>53393.892128028368</v>
      </c>
      <c r="H251" s="300">
        <f>G251+H206*(1-'Assumption Table'!$Q$35)</f>
        <v>71851.509480663328</v>
      </c>
      <c r="I251" s="300">
        <f>H251+I206*(1-'Assumption Table'!$Q$35)</f>
        <v>101665.43188366771</v>
      </c>
      <c r="J251" s="300">
        <f>I251+J206*(1-'Assumption Table'!$Q$35)</f>
        <v>157585.90958215215</v>
      </c>
      <c r="K251" s="300"/>
    </row>
    <row r="252" spans="2:11" x14ac:dyDescent="0.25">
      <c r="B252" s="126" t="str">
        <f>'Data Source Table'!A415</f>
        <v>Treasury Stock</v>
      </c>
      <c r="C252" s="299">
        <f>'Data Source Table'!E415</f>
        <v>-824.2</v>
      </c>
      <c r="D252" s="299">
        <f>'Data Source Table'!F415</f>
        <v>-6922.2</v>
      </c>
      <c r="E252" s="299">
        <f>'Data Source Table'!G415</f>
        <v>-13171.6</v>
      </c>
      <c r="F252" s="300">
        <f>E252</f>
        <v>-13171.6</v>
      </c>
      <c r="G252" s="300">
        <f t="shared" ref="G252:J252" si="107">F252</f>
        <v>-13171.6</v>
      </c>
      <c r="H252" s="300">
        <f t="shared" si="107"/>
        <v>-13171.6</v>
      </c>
      <c r="I252" s="300">
        <f t="shared" si="107"/>
        <v>-13171.6</v>
      </c>
      <c r="J252" s="300">
        <f t="shared" si="107"/>
        <v>-13171.6</v>
      </c>
      <c r="K252" s="300"/>
    </row>
    <row r="253" spans="2:11" x14ac:dyDescent="0.25">
      <c r="B253" s="126" t="str">
        <f>'Data Source Table'!A416</f>
        <v>Comprehensive Inc. and Other</v>
      </c>
      <c r="C253" s="299">
        <f>'Data Source Table'!E416</f>
        <v>-217.3</v>
      </c>
      <c r="D253" s="299">
        <f>'Data Source Table'!F416</f>
        <v>-223.9</v>
      </c>
      <c r="E253" s="299">
        <f>'Data Source Table'!G416</f>
        <v>362.16199999999998</v>
      </c>
      <c r="F253" s="300">
        <f>E253</f>
        <v>362.16199999999998</v>
      </c>
      <c r="G253" s="300">
        <f t="shared" ref="G253:J253" si="108">F253</f>
        <v>362.16199999999998</v>
      </c>
      <c r="H253" s="300">
        <f t="shared" si="108"/>
        <v>362.16199999999998</v>
      </c>
      <c r="I253" s="300">
        <f t="shared" si="108"/>
        <v>362.16199999999998</v>
      </c>
      <c r="J253" s="300">
        <f t="shared" si="108"/>
        <v>362.16199999999998</v>
      </c>
      <c r="K253" s="300"/>
    </row>
    <row r="254" spans="2:11" x14ac:dyDescent="0.25">
      <c r="B254" s="126" t="str">
        <f>'Data Source Table'!A417</f>
        <v xml:space="preserve">  Total Common Equity</v>
      </c>
      <c r="C254" s="299">
        <f>'Data Source Table'!E417</f>
        <v>20777.401000000002</v>
      </c>
      <c r="D254" s="299">
        <f>'Data Source Table'!F417</f>
        <v>20588.312999999998</v>
      </c>
      <c r="E254" s="299">
        <f>'Data Source Table'!G417</f>
        <v>24743.566999999999</v>
      </c>
      <c r="F254" s="300">
        <f>SUM(F249:F253)</f>
        <v>34090.940047050775</v>
      </c>
      <c r="G254" s="300">
        <f t="shared" ref="G254:J254" si="109">SUM(G249:G253)</f>
        <v>46836.58012802837</v>
      </c>
      <c r="H254" s="300">
        <f t="shared" si="109"/>
        <v>65294.19748066333</v>
      </c>
      <c r="I254" s="300">
        <f t="shared" si="109"/>
        <v>95108.119883667707</v>
      </c>
      <c r="J254" s="300">
        <f t="shared" si="109"/>
        <v>151028.59758215214</v>
      </c>
      <c r="K254" s="300"/>
    </row>
    <row r="255" spans="2:11" x14ac:dyDescent="0.25">
      <c r="B255" s="126"/>
      <c r="C255" s="299"/>
      <c r="D255" s="299"/>
      <c r="E255" s="299"/>
      <c r="F255" s="300"/>
      <c r="G255" s="300"/>
      <c r="H255" s="300"/>
      <c r="I255" s="300"/>
      <c r="J255" s="300"/>
      <c r="K255" s="300"/>
    </row>
    <row r="256" spans="2:11" x14ac:dyDescent="0.25">
      <c r="B256" s="126" t="str">
        <f>'Data Source Table'!A419</f>
        <v>Total Equity</v>
      </c>
      <c r="C256" s="299">
        <f>'Data Source Table'!E419</f>
        <v>20777.401000000002</v>
      </c>
      <c r="D256" s="299">
        <f>'Data Source Table'!F419</f>
        <v>20588.312999999998</v>
      </c>
      <c r="E256" s="299">
        <f>'Data Source Table'!G419</f>
        <v>24743.566999999999</v>
      </c>
      <c r="F256" s="300">
        <f>F254</f>
        <v>34090.940047050775</v>
      </c>
      <c r="G256" s="300">
        <f t="shared" ref="G256:J256" si="110">G254</f>
        <v>46836.58012802837</v>
      </c>
      <c r="H256" s="300">
        <f t="shared" si="110"/>
        <v>65294.19748066333</v>
      </c>
      <c r="I256" s="300">
        <f t="shared" si="110"/>
        <v>95108.119883667707</v>
      </c>
      <c r="J256" s="300">
        <f t="shared" si="110"/>
        <v>151028.59758215214</v>
      </c>
      <c r="K256" s="300"/>
    </row>
    <row r="257" spans="2:11" x14ac:dyDescent="0.25">
      <c r="B257" s="126"/>
      <c r="C257" s="299"/>
      <c r="D257" s="299"/>
      <c r="E257" s="299"/>
      <c r="F257" s="300"/>
      <c r="G257" s="300"/>
      <c r="H257" s="300"/>
      <c r="I257" s="300"/>
      <c r="J257" s="300"/>
      <c r="K257" s="300"/>
    </row>
    <row r="258" spans="2:11" s="126" customFormat="1" x14ac:dyDescent="0.25">
      <c r="B258" s="126" t="str">
        <f>'Data Source Table'!A421</f>
        <v>Total Liabilities And Equity</v>
      </c>
      <c r="C258" s="318">
        <f>'Data Source Table'!E421</f>
        <v>48594.767999999996</v>
      </c>
      <c r="D258" s="318">
        <f>'Data Source Table'!F421</f>
        <v>48731.991999999998</v>
      </c>
      <c r="E258" s="318">
        <f>'Data Source Table'!G421</f>
        <v>53630.374000000003</v>
      </c>
      <c r="F258" s="307">
        <f>F256+F247</f>
        <v>66382.84563620777</v>
      </c>
      <c r="G258" s="307">
        <f t="shared" ref="G258:J258" si="111">G256+G247</f>
        <v>81748.040973837575</v>
      </c>
      <c r="H258" s="307">
        <f t="shared" si="111"/>
        <v>103135.36957417139</v>
      </c>
      <c r="I258" s="307">
        <f t="shared" si="111"/>
        <v>136230.94771428854</v>
      </c>
      <c r="J258" s="307">
        <f t="shared" si="111"/>
        <v>195832.75824480358</v>
      </c>
      <c r="K258" s="307"/>
    </row>
    <row r="259" spans="2:11" x14ac:dyDescent="0.25">
      <c r="B259" s="126"/>
      <c r="C259" s="300"/>
      <c r="D259" s="300"/>
      <c r="E259" s="300"/>
      <c r="F259" s="300"/>
      <c r="G259" s="300"/>
      <c r="H259" s="300"/>
      <c r="I259" s="300"/>
      <c r="J259" s="300"/>
      <c r="K259" s="300"/>
    </row>
    <row r="260" spans="2:11" x14ac:dyDescent="0.25">
      <c r="B260" s="126"/>
      <c r="C260" s="300"/>
      <c r="D260" s="300"/>
      <c r="E260" s="300"/>
      <c r="F260" s="300"/>
      <c r="G260" s="300"/>
      <c r="H260" s="300"/>
      <c r="I260" s="300"/>
      <c r="J260" s="300"/>
      <c r="K260" s="300"/>
    </row>
    <row r="261" spans="2:11" x14ac:dyDescent="0.25">
      <c r="C261" s="300"/>
      <c r="D261" s="300"/>
      <c r="E261" s="300"/>
      <c r="F261" s="300"/>
      <c r="G261" s="300"/>
      <c r="H261" s="300"/>
      <c r="I261" s="300"/>
      <c r="J261" s="300"/>
      <c r="K261" s="300"/>
    </row>
    <row r="262" spans="2:11" x14ac:dyDescent="0.25">
      <c r="B262" s="291" t="s">
        <v>743</v>
      </c>
      <c r="C262" s="316"/>
      <c r="D262" s="316"/>
      <c r="E262" s="316"/>
      <c r="F262" s="316"/>
      <c r="G262" s="316"/>
      <c r="H262" s="316"/>
      <c r="I262" s="316"/>
      <c r="J262" s="316"/>
      <c r="K262" s="300"/>
    </row>
    <row r="263" spans="2:11" x14ac:dyDescent="0.25">
      <c r="C263" s="293">
        <f>C211</f>
        <v>2022</v>
      </c>
      <c r="D263" s="293">
        <f t="shared" ref="D263:J263" si="112">D211</f>
        <v>2023</v>
      </c>
      <c r="E263" s="293">
        <f t="shared" si="112"/>
        <v>2024</v>
      </c>
      <c r="F263" s="294">
        <f t="shared" si="112"/>
        <v>2025</v>
      </c>
      <c r="G263" s="294">
        <f t="shared" si="112"/>
        <v>2026</v>
      </c>
      <c r="H263" s="294">
        <f t="shared" si="112"/>
        <v>2027</v>
      </c>
      <c r="I263" s="294">
        <f t="shared" si="112"/>
        <v>2028</v>
      </c>
      <c r="J263" s="294">
        <f t="shared" si="112"/>
        <v>2029</v>
      </c>
      <c r="K263" s="300"/>
    </row>
    <row r="264" spans="2:11" x14ac:dyDescent="0.25">
      <c r="B264" s="193" t="s">
        <v>744</v>
      </c>
      <c r="C264" s="300"/>
      <c r="D264" s="300"/>
      <c r="E264" s="300"/>
      <c r="F264" s="300"/>
      <c r="G264" s="300"/>
      <c r="H264" s="300"/>
      <c r="I264" s="300"/>
      <c r="J264" s="300"/>
      <c r="K264" s="300"/>
    </row>
    <row r="265" spans="2:11" x14ac:dyDescent="0.25">
      <c r="B265" s="101" t="str">
        <f>'Data Source Table'!A458</f>
        <v>Net Income</v>
      </c>
      <c r="C265" s="299">
        <f>'Data Source Table'!E458</f>
        <v>4491.924</v>
      </c>
      <c r="D265" s="299">
        <f>'Data Source Table'!F458</f>
        <v>5407.99</v>
      </c>
      <c r="E265" s="299">
        <f>'Data Source Table'!G458</f>
        <v>8711.6309999999994</v>
      </c>
      <c r="F265" s="300">
        <f>F206</f>
        <v>9347.3350470507721</v>
      </c>
      <c r="G265" s="300">
        <f t="shared" ref="G265:J265" si="113">G206</f>
        <v>12745.640080977595</v>
      </c>
      <c r="H265" s="300">
        <f t="shared" si="113"/>
        <v>18457.617352634959</v>
      </c>
      <c r="I265" s="300">
        <f t="shared" si="113"/>
        <v>29813.922403004377</v>
      </c>
      <c r="J265" s="300">
        <f t="shared" si="113"/>
        <v>55920.477698484436</v>
      </c>
    </row>
    <row r="266" spans="2:11" x14ac:dyDescent="0.25">
      <c r="B266" s="101" t="str">
        <f>'Data Source Table'!A459</f>
        <v>Depreciation &amp; Amort.</v>
      </c>
      <c r="C266" s="299">
        <f>'Data Source Table'!E459</f>
        <v>336.68200000000002</v>
      </c>
      <c r="D266" s="299">
        <f>'Data Source Table'!F459</f>
        <v>356.947</v>
      </c>
      <c r="E266" s="299">
        <f>'Data Source Table'!G459</f>
        <v>328.91399999999999</v>
      </c>
      <c r="F266" s="300">
        <f>F192</f>
        <v>213.52136666666667</v>
      </c>
      <c r="G266" s="300">
        <f t="shared" ref="G266:J266" si="114">G192</f>
        <v>213.5699517614824</v>
      </c>
      <c r="H266" s="300">
        <f t="shared" si="114"/>
        <v>213.60839583496346</v>
      </c>
      <c r="I266" s="300">
        <f t="shared" si="114"/>
        <v>213.65247863546196</v>
      </c>
      <c r="J266" s="300">
        <f t="shared" si="114"/>
        <v>213.70302721483537</v>
      </c>
    </row>
    <row r="267" spans="2:11" x14ac:dyDescent="0.25">
      <c r="B267" s="101" t="str">
        <f>'Data Source Table'!A460</f>
        <v>Depreciation &amp; Amort., Total</v>
      </c>
      <c r="C267" s="299">
        <f>'Data Source Table'!E460</f>
        <v>336.68200000000002</v>
      </c>
      <c r="D267" s="299">
        <f>'Data Source Table'!F460</f>
        <v>356.947</v>
      </c>
      <c r="E267" s="299">
        <f>'Data Source Table'!G460</f>
        <v>328.91399999999999</v>
      </c>
      <c r="F267" s="300">
        <f>F266</f>
        <v>213.52136666666667</v>
      </c>
      <c r="G267" s="300">
        <f t="shared" ref="G267:J267" si="115">G266</f>
        <v>213.5699517614824</v>
      </c>
      <c r="H267" s="300">
        <f t="shared" si="115"/>
        <v>213.60839583496346</v>
      </c>
      <c r="I267" s="300">
        <f t="shared" si="115"/>
        <v>213.65247863546196</v>
      </c>
      <c r="J267" s="300">
        <f t="shared" si="115"/>
        <v>213.70302721483537</v>
      </c>
    </row>
    <row r="268" spans="2:11" x14ac:dyDescent="0.25">
      <c r="C268" s="299"/>
      <c r="D268" s="299"/>
      <c r="E268" s="299"/>
      <c r="F268" s="300"/>
      <c r="G268" s="300"/>
      <c r="H268" s="300"/>
      <c r="I268" s="300"/>
      <c r="J268" s="300"/>
    </row>
    <row r="269" spans="2:11" x14ac:dyDescent="0.25">
      <c r="B269" s="101" t="str">
        <f>'Data Source Table'!A462</f>
        <v>Other Amortization</v>
      </c>
      <c r="C269" s="299">
        <f>'Data Source Table'!E462</f>
        <v>14026.132</v>
      </c>
      <c r="D269" s="299">
        <f>'Data Source Table'!F462</f>
        <v>14197.437</v>
      </c>
      <c r="E269" s="299">
        <f>'Data Source Table'!G462</f>
        <v>15301.517</v>
      </c>
      <c r="F269" s="300">
        <f>$E$269</f>
        <v>15301.517</v>
      </c>
      <c r="G269" s="300">
        <f t="shared" ref="G269:J269" si="116">$E$269</f>
        <v>15301.517</v>
      </c>
      <c r="H269" s="300">
        <f t="shared" si="116"/>
        <v>15301.517</v>
      </c>
      <c r="I269" s="300">
        <f t="shared" si="116"/>
        <v>15301.517</v>
      </c>
      <c r="J269" s="300">
        <f t="shared" si="116"/>
        <v>15301.517</v>
      </c>
    </row>
    <row r="270" spans="2:11" x14ac:dyDescent="0.25">
      <c r="B270" s="101" t="str">
        <f>'Data Source Table'!A463</f>
        <v>Stock-Based Compensation</v>
      </c>
      <c r="C270" s="299">
        <f>'Data Source Table'!E463</f>
        <v>575.452</v>
      </c>
      <c r="D270" s="299">
        <f>'Data Source Table'!F463</f>
        <v>339.36799999999999</v>
      </c>
      <c r="E270" s="299">
        <f>'Data Source Table'!G463</f>
        <v>272.58800000000002</v>
      </c>
      <c r="F270" s="300">
        <f>$E$270</f>
        <v>272.58800000000002</v>
      </c>
      <c r="G270" s="300">
        <f t="shared" ref="G270:J270" si="117">$E$270</f>
        <v>272.58800000000002</v>
      </c>
      <c r="H270" s="300">
        <f t="shared" si="117"/>
        <v>272.58800000000002</v>
      </c>
      <c r="I270" s="300">
        <f t="shared" si="117"/>
        <v>272.58800000000002</v>
      </c>
      <c r="J270" s="300">
        <f t="shared" si="117"/>
        <v>272.58800000000002</v>
      </c>
    </row>
    <row r="271" spans="2:11" x14ac:dyDescent="0.25">
      <c r="B271" s="101" t="str">
        <f>'Data Source Table'!A464</f>
        <v>Other Operating Activities</v>
      </c>
      <c r="C271" s="299">
        <f>'Data Source Table'!E464</f>
        <v>-16645.8</v>
      </c>
      <c r="D271" s="299">
        <f>'Data Source Table'!F464</f>
        <v>-12911.3</v>
      </c>
      <c r="E271" s="299">
        <f>'Data Source Table'!G464</f>
        <v>-17220.2</v>
      </c>
      <c r="F271" s="300">
        <f>$E$271</f>
        <v>-17220.2</v>
      </c>
      <c r="G271" s="300">
        <f t="shared" ref="G271:J271" si="118">$E$271</f>
        <v>-17220.2</v>
      </c>
      <c r="H271" s="300">
        <f t="shared" si="118"/>
        <v>-17220.2</v>
      </c>
      <c r="I271" s="300">
        <f t="shared" si="118"/>
        <v>-17220.2</v>
      </c>
      <c r="J271" s="300">
        <f t="shared" si="118"/>
        <v>-17220.2</v>
      </c>
    </row>
    <row r="272" spans="2:11" x14ac:dyDescent="0.25">
      <c r="B272" s="101" t="str">
        <f>'Data Source Table'!A465</f>
        <v>Change in Acc. Payable</v>
      </c>
      <c r="C272" s="299">
        <f>'Data Source Table'!E465</f>
        <v>-158.5</v>
      </c>
      <c r="D272" s="299">
        <f>'Data Source Table'!F465</f>
        <v>93.501999999999995</v>
      </c>
      <c r="E272" s="299">
        <f>'Data Source Table'!G465</f>
        <v>121.35299999999999</v>
      </c>
      <c r="F272" s="300">
        <f>F235-E235</f>
        <v>181.71230402159688</v>
      </c>
      <c r="G272" s="300">
        <f t="shared" ref="G272:J272" si="119">G235-F235</f>
        <v>158.64518812438155</v>
      </c>
      <c r="H272" s="300">
        <f t="shared" si="119"/>
        <v>181.91423397383119</v>
      </c>
      <c r="I272" s="300">
        <f t="shared" si="119"/>
        <v>208.59623234421906</v>
      </c>
      <c r="J272" s="300">
        <f t="shared" si="119"/>
        <v>239.1917729453919</v>
      </c>
    </row>
    <row r="273" spans="2:10" x14ac:dyDescent="0.25">
      <c r="B273" s="101" t="str">
        <f>'Data Source Table'!A466</f>
        <v>Change in Unearned Rev.</v>
      </c>
      <c r="C273" s="299">
        <f>'Data Source Table'!E466</f>
        <v>27.356000000000002</v>
      </c>
      <c r="D273" s="299">
        <f>'Data Source Table'!F466</f>
        <v>178.708</v>
      </c>
      <c r="E273" s="299">
        <f>'Data Source Table'!G466</f>
        <v>77.843999999999994</v>
      </c>
      <c r="F273" s="300">
        <f>F239-E239</f>
        <v>332.73562497212993</v>
      </c>
      <c r="G273" s="300">
        <f t="shared" ref="G273:J273" si="120">G239-F239</f>
        <v>271.86647416526898</v>
      </c>
      <c r="H273" s="300">
        <f t="shared" si="120"/>
        <v>311.74208291881041</v>
      </c>
      <c r="I273" s="300">
        <f t="shared" si="120"/>
        <v>357.46638698628567</v>
      </c>
      <c r="J273" s="300">
        <f t="shared" si="120"/>
        <v>409.89723501112167</v>
      </c>
    </row>
    <row r="274" spans="2:10" x14ac:dyDescent="0.25">
      <c r="B274" s="101" t="str">
        <f>'Data Source Table'!A467</f>
        <v>Change in Other Net Operating Assets</v>
      </c>
      <c r="C274" s="299">
        <f>'Data Source Table'!E467</f>
        <v>-626.9</v>
      </c>
      <c r="D274" s="299">
        <f>'Data Source Table'!F467</f>
        <v>-388.4</v>
      </c>
      <c r="E274" s="299">
        <f>'Data Source Table'!G467</f>
        <v>-232.3</v>
      </c>
      <c r="F274" s="300">
        <f>-((F220+F222)-(E220+E222))</f>
        <v>-238.67023678032479</v>
      </c>
      <c r="G274" s="300">
        <f t="shared" ref="G274:J274" si="121">-((G220+G222)-(F220+F222))</f>
        <v>-259.17299872763283</v>
      </c>
      <c r="H274" s="300">
        <f t="shared" si="121"/>
        <v>-297.18681094363569</v>
      </c>
      <c r="I274" s="300">
        <f t="shared" si="121"/>
        <v>-340.77624224915735</v>
      </c>
      <c r="J274" s="300">
        <f t="shared" si="121"/>
        <v>-390.75908824056523</v>
      </c>
    </row>
    <row r="275" spans="2:10" s="126" customFormat="1" x14ac:dyDescent="0.25">
      <c r="B275" s="126" t="str">
        <f>'Data Source Table'!A468</f>
        <v xml:space="preserve">  Cash from Ops.</v>
      </c>
      <c r="C275" s="318">
        <f>'Data Source Table'!E468</f>
        <v>2026.2570000000001</v>
      </c>
      <c r="D275" s="318">
        <f>'Data Source Table'!F468</f>
        <v>7274.3010000000004</v>
      </c>
      <c r="E275" s="318">
        <f>'Data Source Table'!G468</f>
        <v>7361.3639999999996</v>
      </c>
      <c r="F275" s="307">
        <f>F265+F267+F269+F270+F271+F272+F273+F274</f>
        <v>8190.5391059308404</v>
      </c>
      <c r="G275" s="307">
        <f t="shared" ref="G275:J275" si="122">G265+G267+G269+G270+G271+G272+G273+G274</f>
        <v>11484.453696301096</v>
      </c>
      <c r="H275" s="307">
        <f t="shared" si="122"/>
        <v>17221.600254418929</v>
      </c>
      <c r="I275" s="307">
        <f t="shared" si="122"/>
        <v>28606.766258721182</v>
      </c>
      <c r="J275" s="307">
        <f t="shared" si="122"/>
        <v>54746.415645415225</v>
      </c>
    </row>
    <row r="276" spans="2:10" x14ac:dyDescent="0.25">
      <c r="C276" s="299"/>
      <c r="D276" s="299"/>
      <c r="E276" s="299"/>
      <c r="F276" s="300"/>
      <c r="G276" s="300"/>
      <c r="H276" s="300"/>
      <c r="I276" s="300"/>
      <c r="J276" s="300"/>
    </row>
    <row r="277" spans="2:10" x14ac:dyDescent="0.25">
      <c r="B277" s="101" t="str">
        <f>'Data Source Table'!A470</f>
        <v>Capital Expenditure</v>
      </c>
      <c r="C277" s="299">
        <f>'Data Source Table'!E470</f>
        <v>-407.7</v>
      </c>
      <c r="D277" s="299">
        <f>'Data Source Table'!F470</f>
        <v>-348.6</v>
      </c>
      <c r="E277" s="299">
        <f>'Data Source Table'!G470</f>
        <v>-439.5</v>
      </c>
      <c r="F277" s="300">
        <f>(F227-E227)</f>
        <v>-1915.1585703300236</v>
      </c>
      <c r="G277" s="300">
        <f>(G227-F227)</f>
        <v>213.53285213299955</v>
      </c>
      <c r="H277" s="300">
        <f t="shared" ref="H277:J277" si="123">(H227-G227)</f>
        <v>276.13907345244252</v>
      </c>
      <c r="I277" s="300">
        <f t="shared" si="123"/>
        <v>347.92796870965822</v>
      </c>
      <c r="J277" s="300">
        <f t="shared" si="123"/>
        <v>430.2463928796069</v>
      </c>
    </row>
    <row r="278" spans="2:10" x14ac:dyDescent="0.25">
      <c r="B278" s="101" t="str">
        <f>'Data Source Table'!A471</f>
        <v>Cash Acquisitions</v>
      </c>
      <c r="C278" s="299">
        <f>'Data Source Table'!E471</f>
        <v>-757.4</v>
      </c>
      <c r="D278" s="299" t="str">
        <f>'Data Source Table'!F471</f>
        <v>-</v>
      </c>
      <c r="E278" s="299" t="str">
        <f>'Data Source Table'!G471</f>
        <v>-</v>
      </c>
      <c r="F278" s="300" t="str">
        <f>E278</f>
        <v>-</v>
      </c>
      <c r="G278" s="300" t="str">
        <f t="shared" ref="G278:J278" si="124">F278</f>
        <v>-</v>
      </c>
      <c r="H278" s="300" t="str">
        <f t="shared" si="124"/>
        <v>-</v>
      </c>
      <c r="I278" s="300" t="str">
        <f t="shared" si="124"/>
        <v>-</v>
      </c>
      <c r="J278" s="300" t="str">
        <f t="shared" si="124"/>
        <v>-</v>
      </c>
    </row>
    <row r="279" spans="2:10" x14ac:dyDescent="0.25">
      <c r="B279" s="101" t="str">
        <f>'Data Source Table'!A472</f>
        <v>Divestitures</v>
      </c>
      <c r="C279" s="299" t="str">
        <f>'Data Source Table'!E472</f>
        <v>-</v>
      </c>
      <c r="D279" s="299" t="str">
        <f>'Data Source Table'!F472</f>
        <v>-</v>
      </c>
      <c r="E279" s="299" t="str">
        <f>'Data Source Table'!G472</f>
        <v>-</v>
      </c>
      <c r="F279" s="300" t="str">
        <f>E279</f>
        <v>-</v>
      </c>
      <c r="G279" s="300" t="str">
        <f t="shared" ref="G279:J279" si="125">F279</f>
        <v>-</v>
      </c>
      <c r="H279" s="300" t="str">
        <f t="shared" si="125"/>
        <v>-</v>
      </c>
      <c r="I279" s="300" t="str">
        <f t="shared" si="125"/>
        <v>-</v>
      </c>
      <c r="J279" s="300" t="str">
        <f t="shared" si="125"/>
        <v>-</v>
      </c>
    </row>
    <row r="280" spans="2:10" x14ac:dyDescent="0.25">
      <c r="B280" s="101" t="str">
        <f>'Data Source Table'!A473</f>
        <v>Invest. in Marketable &amp; Equity Securt.</v>
      </c>
      <c r="C280" s="299">
        <f>'Data Source Table'!E473</f>
        <v>-911.3</v>
      </c>
      <c r="D280" s="299">
        <f>'Data Source Table'!F473</f>
        <v>890.303</v>
      </c>
      <c r="E280" s="299">
        <f>'Data Source Table'!G473</f>
        <v>-1742.2</v>
      </c>
      <c r="F280" s="300">
        <f>E280</f>
        <v>-1742.2</v>
      </c>
      <c r="G280" s="300">
        <f t="shared" ref="G280:J280" si="126">F280</f>
        <v>-1742.2</v>
      </c>
      <c r="H280" s="300">
        <f t="shared" si="126"/>
        <v>-1742.2</v>
      </c>
      <c r="I280" s="300">
        <f t="shared" si="126"/>
        <v>-1742.2</v>
      </c>
      <c r="J280" s="300">
        <f t="shared" si="126"/>
        <v>-1742.2</v>
      </c>
    </row>
    <row r="281" spans="2:10" x14ac:dyDescent="0.25">
      <c r="B281" s="101" t="str">
        <f>'Data Source Table'!A474</f>
        <v>Net (Inc.) Dec. in Loans Originated/Sold</v>
      </c>
      <c r="C281" s="299" t="str">
        <f>'Data Source Table'!E474</f>
        <v>-</v>
      </c>
      <c r="D281" s="299" t="str">
        <f>'Data Source Table'!F474</f>
        <v>-</v>
      </c>
      <c r="E281" s="299" t="str">
        <f>'Data Source Table'!G474</f>
        <v>-</v>
      </c>
      <c r="F281" s="300" t="str">
        <f>E281</f>
        <v>-</v>
      </c>
      <c r="G281" s="300" t="str">
        <f t="shared" ref="G281:I281" si="127">F281</f>
        <v>-</v>
      </c>
      <c r="H281" s="300" t="str">
        <f t="shared" si="127"/>
        <v>-</v>
      </c>
      <c r="I281" s="300" t="str">
        <f t="shared" si="127"/>
        <v>-</v>
      </c>
      <c r="J281" s="300"/>
    </row>
    <row r="282" spans="2:10" x14ac:dyDescent="0.25">
      <c r="B282" s="101" t="str">
        <f>'Data Source Table'!A475</f>
        <v>Other Investing Activities</v>
      </c>
      <c r="C282" s="299" t="str">
        <f>'Data Source Table'!E475</f>
        <v>-</v>
      </c>
      <c r="D282" s="299" t="str">
        <f>'Data Source Table'!F475</f>
        <v>-</v>
      </c>
      <c r="E282" s="299" t="str">
        <f>'Data Source Table'!G475</f>
        <v>-</v>
      </c>
      <c r="F282" s="300" t="str">
        <f>E282</f>
        <v>-</v>
      </c>
      <c r="G282" s="300" t="str">
        <f t="shared" ref="G282:I282" si="128">F282</f>
        <v>-</v>
      </c>
      <c r="H282" s="300" t="str">
        <f t="shared" si="128"/>
        <v>-</v>
      </c>
      <c r="I282" s="300" t="str">
        <f t="shared" si="128"/>
        <v>-</v>
      </c>
      <c r="J282" s="300"/>
    </row>
    <row r="283" spans="2:10" s="126" customFormat="1" x14ac:dyDescent="0.25">
      <c r="B283" s="126" t="str">
        <f>'Data Source Table'!A476</f>
        <v xml:space="preserve">  Cash from Investing</v>
      </c>
      <c r="C283" s="318">
        <f>'Data Source Table'!E476</f>
        <v>-2076.4</v>
      </c>
      <c r="D283" s="318">
        <f>'Data Source Table'!F476</f>
        <v>541.75099999999998</v>
      </c>
      <c r="E283" s="318">
        <f>'Data Source Table'!G476</f>
        <v>-2181.8000000000002</v>
      </c>
      <c r="F283" s="307">
        <f>SUM(F277:F282)</f>
        <v>-3657.3585703300237</v>
      </c>
      <c r="G283" s="307">
        <f t="shared" ref="G283:J283" si="129">SUM(G277:G282)</f>
        <v>-1528.6671478670005</v>
      </c>
      <c r="H283" s="307">
        <f t="shared" si="129"/>
        <v>-1466.0609265475575</v>
      </c>
      <c r="I283" s="307">
        <f t="shared" si="129"/>
        <v>-1394.2720312903418</v>
      </c>
      <c r="J283" s="307">
        <f t="shared" si="129"/>
        <v>-1311.9536071203931</v>
      </c>
    </row>
    <row r="284" spans="2:10" x14ac:dyDescent="0.25">
      <c r="C284" s="299"/>
      <c r="D284" s="299"/>
      <c r="E284" s="299"/>
      <c r="F284" s="300"/>
      <c r="G284" s="300"/>
      <c r="H284" s="300"/>
      <c r="I284" s="300"/>
      <c r="J284" s="300"/>
    </row>
    <row r="285" spans="2:10" x14ac:dyDescent="0.25">
      <c r="B285" s="101" t="str">
        <f>'Data Source Table'!A478</f>
        <v>Short Term Debt Issued</v>
      </c>
      <c r="C285" s="299" t="str">
        <f>'Data Source Table'!E478</f>
        <v>-</v>
      </c>
      <c r="D285" s="299" t="str">
        <f>'Data Source Table'!F478</f>
        <v>-</v>
      </c>
      <c r="E285" s="299" t="str">
        <f>'Data Source Table'!G478</f>
        <v>-</v>
      </c>
      <c r="F285" s="300" t="str">
        <f>E285</f>
        <v>-</v>
      </c>
      <c r="G285" s="300" t="str">
        <f t="shared" ref="G285:J285" si="130">F285</f>
        <v>-</v>
      </c>
      <c r="H285" s="300" t="str">
        <f t="shared" si="130"/>
        <v>-</v>
      </c>
      <c r="I285" s="300" t="str">
        <f t="shared" si="130"/>
        <v>-</v>
      </c>
      <c r="J285" s="300" t="str">
        <f t="shared" si="130"/>
        <v>-</v>
      </c>
    </row>
    <row r="286" spans="2:10" x14ac:dyDescent="0.25">
      <c r="B286" s="101" t="str">
        <f>'Data Source Table'!A479</f>
        <v>Long-Term Debt Issued</v>
      </c>
      <c r="C286" s="299" t="str">
        <f>'Data Source Table'!E479</f>
        <v>-</v>
      </c>
      <c r="D286" s="299" t="str">
        <f>'Data Source Table'!F479</f>
        <v>-</v>
      </c>
      <c r="E286" s="299">
        <f>'Data Source Table'!G479</f>
        <v>1794.46</v>
      </c>
      <c r="F286" s="300"/>
      <c r="G286" s="300"/>
      <c r="H286" s="300"/>
      <c r="I286" s="300"/>
      <c r="J286" s="300"/>
    </row>
    <row r="287" spans="2:10" s="126" customFormat="1" x14ac:dyDescent="0.25">
      <c r="B287" s="126" t="str">
        <f>'Data Source Table'!A480</f>
        <v>Total Debt Issued</v>
      </c>
      <c r="C287" s="318" t="str">
        <f>'Data Source Table'!E480</f>
        <v>-</v>
      </c>
      <c r="D287" s="318" t="str">
        <f>'Data Source Table'!F480</f>
        <v>-</v>
      </c>
      <c r="E287" s="318">
        <f>'Data Source Table'!G480</f>
        <v>1794.46</v>
      </c>
      <c r="F287" s="307">
        <f>F153</f>
        <v>729.63666666666666</v>
      </c>
      <c r="G287" s="307">
        <f t="shared" ref="G287:J287" si="131">G153</f>
        <v>766.11850000000004</v>
      </c>
      <c r="H287" s="307">
        <f t="shared" si="131"/>
        <v>804.42442500000004</v>
      </c>
      <c r="I287" s="307">
        <f t="shared" si="131"/>
        <v>844.64564625000003</v>
      </c>
      <c r="J287" s="307">
        <f t="shared" si="131"/>
        <v>886.87792856250007</v>
      </c>
    </row>
    <row r="288" spans="2:10" x14ac:dyDescent="0.25">
      <c r="B288" s="101" t="str">
        <f>'Data Source Table'!A481</f>
        <v>Short Term Debt Repaid</v>
      </c>
      <c r="C288" s="299" t="str">
        <f>'Data Source Table'!E481</f>
        <v>-</v>
      </c>
      <c r="D288" s="299" t="str">
        <f>'Data Source Table'!F481</f>
        <v>-</v>
      </c>
      <c r="E288" s="299" t="str">
        <f>'Data Source Table'!G481</f>
        <v>-</v>
      </c>
      <c r="F288" s="300"/>
      <c r="G288" s="300"/>
      <c r="H288" s="300"/>
      <c r="I288" s="300"/>
      <c r="J288" s="300"/>
    </row>
    <row r="289" spans="2:11" x14ac:dyDescent="0.25">
      <c r="B289" s="101" t="str">
        <f>'Data Source Table'!A482</f>
        <v>Long-Term Debt Repaid</v>
      </c>
      <c r="C289" s="299">
        <f>'Data Source Table'!E482</f>
        <v>-700</v>
      </c>
      <c r="D289" s="299" t="str">
        <f>'Data Source Table'!F482</f>
        <v>-</v>
      </c>
      <c r="E289" s="299">
        <f>'Data Source Table'!G482</f>
        <v>-400</v>
      </c>
      <c r="F289" s="300">
        <f>-F152</f>
        <v>0</v>
      </c>
      <c r="G289" s="300">
        <f t="shared" ref="G289:J289" si="132">-G152</f>
        <v>0</v>
      </c>
      <c r="H289" s="300">
        <f t="shared" si="132"/>
        <v>0</v>
      </c>
      <c r="I289" s="300">
        <f t="shared" si="132"/>
        <v>0</v>
      </c>
      <c r="J289" s="300">
        <f t="shared" si="132"/>
        <v>0</v>
      </c>
    </row>
    <row r="290" spans="2:11" x14ac:dyDescent="0.25">
      <c r="B290" s="101" t="str">
        <f>'Data Source Table'!A483</f>
        <v>Total Debt Repaid</v>
      </c>
      <c r="C290" s="299">
        <f>'Data Source Table'!E483</f>
        <v>-700</v>
      </c>
      <c r="D290" s="299" t="str">
        <f>'Data Source Table'!F483</f>
        <v>-</v>
      </c>
      <c r="E290" s="299">
        <f>'Data Source Table'!G483</f>
        <v>-400</v>
      </c>
      <c r="F290" s="300">
        <f>E290</f>
        <v>-400</v>
      </c>
      <c r="G290" s="300">
        <f t="shared" ref="G290:J290" si="133">F290</f>
        <v>-400</v>
      </c>
      <c r="H290" s="300">
        <f t="shared" si="133"/>
        <v>-400</v>
      </c>
      <c r="I290" s="300">
        <f t="shared" si="133"/>
        <v>-400</v>
      </c>
      <c r="J290" s="300">
        <f t="shared" si="133"/>
        <v>-400</v>
      </c>
    </row>
    <row r="291" spans="2:11" x14ac:dyDescent="0.25">
      <c r="C291" s="299"/>
      <c r="D291" s="299"/>
      <c r="E291" s="299"/>
      <c r="F291" s="300"/>
      <c r="G291" s="300"/>
      <c r="H291" s="300"/>
      <c r="I291" s="300"/>
      <c r="J291" s="300"/>
    </row>
    <row r="292" spans="2:11" x14ac:dyDescent="0.25">
      <c r="B292" s="101" t="str">
        <f>'Data Source Table'!A485</f>
        <v>Issuance of Common Stock</v>
      </c>
      <c r="C292" s="299">
        <f>'Data Source Table'!E485</f>
        <v>35.746000000000002</v>
      </c>
      <c r="D292" s="299">
        <f>'Data Source Table'!F485</f>
        <v>169.99</v>
      </c>
      <c r="E292" s="299">
        <f>'Data Source Table'!G485</f>
        <v>832.88699999999994</v>
      </c>
      <c r="F292" s="300">
        <f>$E$292</f>
        <v>832.88699999999994</v>
      </c>
      <c r="G292" s="300">
        <f t="shared" ref="G292:J292" si="134">$E$292</f>
        <v>832.88699999999994</v>
      </c>
      <c r="H292" s="300">
        <f t="shared" si="134"/>
        <v>832.88699999999994</v>
      </c>
      <c r="I292" s="300">
        <f t="shared" si="134"/>
        <v>832.88699999999994</v>
      </c>
      <c r="J292" s="300">
        <f t="shared" si="134"/>
        <v>832.88699999999994</v>
      </c>
    </row>
    <row r="293" spans="2:11" x14ac:dyDescent="0.25">
      <c r="B293" s="101" t="str">
        <f>'Data Source Table'!A486</f>
        <v>Repurchase of Common Stock</v>
      </c>
      <c r="C293" s="299" t="str">
        <f>'Data Source Table'!E486</f>
        <v>-</v>
      </c>
      <c r="D293" s="299">
        <f>'Data Source Table'!F486</f>
        <v>-6045.3</v>
      </c>
      <c r="E293" s="299">
        <f>'Data Source Table'!G486</f>
        <v>-6272</v>
      </c>
      <c r="F293" s="300">
        <f>E293</f>
        <v>-6272</v>
      </c>
      <c r="G293" s="300">
        <f t="shared" ref="G293:J293" si="135">F293</f>
        <v>-6272</v>
      </c>
      <c r="H293" s="300">
        <f t="shared" si="135"/>
        <v>-6272</v>
      </c>
      <c r="I293" s="300">
        <f t="shared" si="135"/>
        <v>-6272</v>
      </c>
      <c r="J293" s="300">
        <f t="shared" si="135"/>
        <v>-6272</v>
      </c>
    </row>
    <row r="294" spans="2:11" x14ac:dyDescent="0.25">
      <c r="C294" s="299"/>
      <c r="D294" s="299"/>
      <c r="E294" s="299"/>
      <c r="F294" s="300"/>
      <c r="G294" s="300"/>
      <c r="H294" s="300"/>
      <c r="I294" s="300"/>
      <c r="J294" s="300"/>
    </row>
    <row r="295" spans="2:11" x14ac:dyDescent="0.25">
      <c r="B295" s="101" t="str">
        <f>'Data Source Table'!A488</f>
        <v>Total Dividends Paid</v>
      </c>
      <c r="C295" s="299" t="str">
        <f>'Data Source Table'!E488</f>
        <v>-</v>
      </c>
      <c r="D295" s="299" t="str">
        <f>'Data Source Table'!F488</f>
        <v>-</v>
      </c>
      <c r="E295" s="299" t="str">
        <f>'Data Source Table'!G488</f>
        <v>-</v>
      </c>
      <c r="F295" s="300" t="str">
        <f>E295</f>
        <v>-</v>
      </c>
      <c r="G295" s="300" t="str">
        <f t="shared" ref="G295:J295" si="136">F295</f>
        <v>-</v>
      </c>
      <c r="H295" s="300" t="str">
        <f t="shared" si="136"/>
        <v>-</v>
      </c>
      <c r="I295" s="300" t="str">
        <f t="shared" si="136"/>
        <v>-</v>
      </c>
      <c r="J295" s="300" t="str">
        <f t="shared" si="136"/>
        <v>-</v>
      </c>
    </row>
    <row r="296" spans="2:11" x14ac:dyDescent="0.25">
      <c r="C296" s="299"/>
      <c r="D296" s="299"/>
      <c r="E296" s="299"/>
      <c r="F296" s="300"/>
      <c r="G296" s="300"/>
      <c r="H296" s="300"/>
      <c r="I296" s="300"/>
      <c r="J296" s="300"/>
    </row>
    <row r="297" spans="2:11" x14ac:dyDescent="0.25">
      <c r="B297" s="101" t="str">
        <f>'Data Source Table'!A490</f>
        <v>Special Dividend Paid</v>
      </c>
      <c r="C297" s="299" t="str">
        <f>'Data Source Table'!E490</f>
        <v>-</v>
      </c>
      <c r="D297" s="299" t="str">
        <f>'Data Source Table'!F490</f>
        <v>-</v>
      </c>
      <c r="E297" s="299" t="str">
        <f>'Data Source Table'!G490</f>
        <v>-</v>
      </c>
      <c r="F297" s="300" t="str">
        <f>E297</f>
        <v>-</v>
      </c>
      <c r="G297" s="300" t="str">
        <f t="shared" ref="G297:J297" si="137">F297</f>
        <v>-</v>
      </c>
      <c r="H297" s="300" t="str">
        <f t="shared" si="137"/>
        <v>-</v>
      </c>
      <c r="I297" s="300" t="str">
        <f t="shared" si="137"/>
        <v>-</v>
      </c>
      <c r="J297" s="300" t="str">
        <f t="shared" si="137"/>
        <v>-</v>
      </c>
    </row>
    <row r="298" spans="2:11" x14ac:dyDescent="0.25">
      <c r="B298" s="101" t="str">
        <f>'Data Source Table'!A491</f>
        <v>Other Financing Activities</v>
      </c>
      <c r="C298" s="299" t="str">
        <f>'Data Source Table'!E491</f>
        <v>-</v>
      </c>
      <c r="D298" s="299">
        <f>'Data Source Table'!F491</f>
        <v>-75.400000000000006</v>
      </c>
      <c r="E298" s="299">
        <f>'Data Source Table'!G491</f>
        <v>-29.7</v>
      </c>
      <c r="F298" s="300">
        <f>E298</f>
        <v>-29.7</v>
      </c>
      <c r="G298" s="300">
        <f t="shared" ref="G298:J298" si="138">F298</f>
        <v>-29.7</v>
      </c>
      <c r="H298" s="300">
        <f t="shared" si="138"/>
        <v>-29.7</v>
      </c>
      <c r="I298" s="300">
        <f t="shared" si="138"/>
        <v>-29.7</v>
      </c>
      <c r="J298" s="300">
        <f t="shared" si="138"/>
        <v>-29.7</v>
      </c>
    </row>
    <row r="299" spans="2:11" s="126" customFormat="1" x14ac:dyDescent="0.25">
      <c r="B299" s="126" t="str">
        <f>'Data Source Table'!A492</f>
        <v xml:space="preserve">  Cash from Financing</v>
      </c>
      <c r="C299" s="318">
        <f>'Data Source Table'!E492</f>
        <v>-664.3</v>
      </c>
      <c r="D299" s="318">
        <f>'Data Source Table'!F492</f>
        <v>-5950.8</v>
      </c>
      <c r="E299" s="318">
        <f>'Data Source Table'!G492</f>
        <v>-4074.4</v>
      </c>
      <c r="F299" s="307">
        <f>SUM(F285:F298)</f>
        <v>-5139.1763333333338</v>
      </c>
      <c r="G299" s="307">
        <f t="shared" ref="G299:J299" si="139">SUM(G285:G298)</f>
        <v>-5102.6944999999996</v>
      </c>
      <c r="H299" s="307">
        <f t="shared" si="139"/>
        <v>-5064.3885749999999</v>
      </c>
      <c r="I299" s="307">
        <f t="shared" si="139"/>
        <v>-5024.1673537500001</v>
      </c>
      <c r="J299" s="307">
        <f t="shared" si="139"/>
        <v>-4981.9350714374996</v>
      </c>
      <c r="K299" s="307"/>
    </row>
    <row r="300" spans="2:11" x14ac:dyDescent="0.25">
      <c r="C300" s="299">
        <f>'Data Source Table'!E493</f>
        <v>0</v>
      </c>
      <c r="D300" s="299">
        <f>'Data Source Table'!F493</f>
        <v>0</v>
      </c>
      <c r="E300" s="299">
        <f>'Data Source Table'!G493</f>
        <v>0</v>
      </c>
      <c r="F300" s="300"/>
      <c r="G300" s="300"/>
      <c r="H300" s="300"/>
      <c r="I300" s="300"/>
      <c r="J300" s="300"/>
    </row>
    <row r="301" spans="2:11" x14ac:dyDescent="0.25">
      <c r="B301" s="101" t="str">
        <f>'Data Source Table'!A494</f>
        <v>Foreign Exchange Rate Adj.</v>
      </c>
      <c r="C301" s="299">
        <f>'Data Source Table'!E494</f>
        <v>-170.1</v>
      </c>
      <c r="D301" s="299">
        <f>'Data Source Table'!F494</f>
        <v>82.683999999999997</v>
      </c>
      <c r="E301" s="299">
        <f>'Data Source Table'!G494</f>
        <v>-416.3</v>
      </c>
      <c r="F301" s="300">
        <f>E301</f>
        <v>-416.3</v>
      </c>
      <c r="G301" s="300">
        <f t="shared" ref="G301:J301" si="140">F301</f>
        <v>-416.3</v>
      </c>
      <c r="H301" s="300">
        <f t="shared" si="140"/>
        <v>-416.3</v>
      </c>
      <c r="I301" s="300">
        <f t="shared" si="140"/>
        <v>-416.3</v>
      </c>
      <c r="J301" s="300">
        <f t="shared" si="140"/>
        <v>-416.3</v>
      </c>
    </row>
    <row r="302" spans="2:11" s="126" customFormat="1" x14ac:dyDescent="0.25">
      <c r="B302" s="126" t="str">
        <f>'Data Source Table'!A495</f>
        <v xml:space="preserve">  Net Change in Cash</v>
      </c>
      <c r="C302" s="318">
        <f>'Data Source Table'!E495</f>
        <v>-884.5</v>
      </c>
      <c r="D302" s="318">
        <f>'Data Source Table'!F495</f>
        <v>1947.933</v>
      </c>
      <c r="E302" s="318">
        <f>'Data Source Table'!G495</f>
        <v>688.822</v>
      </c>
      <c r="F302" s="307">
        <f>SUM(F301+F299+F283+F275)</f>
        <v>-1022.2957977325168</v>
      </c>
      <c r="G302" s="307">
        <f t="shared" ref="G302:J302" si="141">SUM(G301+G299+G283+G275)</f>
        <v>4436.7920484340957</v>
      </c>
      <c r="H302" s="307">
        <f t="shared" si="141"/>
        <v>10274.850752871371</v>
      </c>
      <c r="I302" s="307">
        <f t="shared" si="141"/>
        <v>21772.026873680839</v>
      </c>
      <c r="J302" s="307">
        <f t="shared" si="141"/>
        <v>48036.226966857335</v>
      </c>
    </row>
    <row r="303" spans="2:11" x14ac:dyDescent="0.25">
      <c r="C303" s="300"/>
      <c r="D303" s="300"/>
      <c r="E303" s="300"/>
      <c r="F303" s="300"/>
      <c r="G303" s="300"/>
      <c r="H303" s="300"/>
      <c r="I303" s="300"/>
      <c r="J303" s="300"/>
    </row>
    <row r="304" spans="2:11" x14ac:dyDescent="0.25">
      <c r="C304" s="300"/>
      <c r="D304" s="300"/>
      <c r="E304" s="300"/>
      <c r="F304" s="300"/>
      <c r="G304" s="300"/>
      <c r="H304" s="300"/>
      <c r="I304" s="300"/>
      <c r="J304" s="300"/>
    </row>
    <row r="305" spans="3:10" x14ac:dyDescent="0.25">
      <c r="C305" s="300"/>
      <c r="D305" s="300"/>
      <c r="E305" s="300"/>
      <c r="F305" s="300"/>
      <c r="G305" s="300"/>
      <c r="H305" s="300"/>
      <c r="I305" s="300"/>
      <c r="J305" s="300"/>
    </row>
  </sheetData>
  <pageMargins left="0.7" right="0.7" top="0.75" bottom="0.75" header="0.3" footer="0.3"/>
  <pageSetup scale="52" fitToHeight="0" orientation="landscape" r:id="rId1"/>
  <headerFooter>
    <oddHeader>&amp;CFinancial Projections – Netflix, Inc.</oddHeader>
    <oddFooter xml:space="preserve">&amp;LPrepared by: Tolulope Oluwabunmi
&amp;CFor Portfolio &amp; Educational Purposes Only
&amp;R&amp;D | Page &amp;P of &amp;N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AI74"/>
  <sheetViews>
    <sheetView showGridLines="0" tabSelected="1" view="pageLayout" topLeftCell="A49" zoomScaleNormal="100" workbookViewId="0">
      <selection activeCell="K3" sqref="K3"/>
    </sheetView>
  </sheetViews>
  <sheetFormatPr defaultColWidth="8.85546875" defaultRowHeight="15" x14ac:dyDescent="0.25"/>
  <cols>
    <col min="1" max="1" width="1.85546875" customWidth="1"/>
    <col min="6" max="10" width="10.7109375" customWidth="1"/>
  </cols>
  <sheetData>
    <row r="1" spans="1:35" ht="6" customHeight="1" x14ac:dyDescent="0.25">
      <c r="A1" s="448" cm="1">
        <f t="array" ref="A1">_xlfn.IFS(D4="Base Case",1,D4="Best Case",2,D4="Worst Case",3)</f>
        <v>1</v>
      </c>
    </row>
    <row r="4" spans="1:35" ht="23.25" x14ac:dyDescent="0.35">
      <c r="C4" s="443" t="s">
        <v>761</v>
      </c>
      <c r="D4" s="451" t="s">
        <v>13</v>
      </c>
    </row>
    <row r="6" spans="1:35" ht="15.75" x14ac:dyDescent="0.25">
      <c r="H6" s="294">
        <f>'The Model'!F4</f>
        <v>2025</v>
      </c>
      <c r="I6" s="294">
        <f>'The Model'!G4</f>
        <v>2026</v>
      </c>
      <c r="J6" s="294">
        <f>'The Model'!H4</f>
        <v>2027</v>
      </c>
      <c r="K6" s="294">
        <f>'The Model'!I4</f>
        <v>2028</v>
      </c>
      <c r="L6" s="294">
        <f>'The Model'!J4</f>
        <v>2029</v>
      </c>
    </row>
    <row r="8" spans="1:35" x14ac:dyDescent="0.25">
      <c r="B8" s="449" t="str">
        <f>'Assumption Table'!B56</f>
        <v>Key Revenue Risk Variable</v>
      </c>
    </row>
    <row r="9" spans="1:35" x14ac:dyDescent="0.25">
      <c r="C9" s="449" t="str">
        <f>'Assumption Table'!B57</f>
        <v>Total Streaming Revenue</v>
      </c>
    </row>
    <row r="10" spans="1:35" x14ac:dyDescent="0.25">
      <c r="E10" s="444" t="s">
        <v>762</v>
      </c>
      <c r="F10" s="60"/>
      <c r="G10" s="60"/>
      <c r="H10" s="445">
        <f>CHOOSE($A$1,H12,H13,H14)</f>
        <v>0.14667350535212248</v>
      </c>
      <c r="I10" s="446">
        <f t="shared" ref="I10:L10" si="0">CHOOSE($A$1,I12,I13,I14)</f>
        <v>0.14667350535212248</v>
      </c>
      <c r="J10" s="446">
        <f t="shared" si="0"/>
        <v>0.14667350535212248</v>
      </c>
      <c r="K10" s="446">
        <f t="shared" si="0"/>
        <v>0.14667350535212248</v>
      </c>
      <c r="L10" s="446">
        <f t="shared" si="0"/>
        <v>0.14667350535212248</v>
      </c>
    </row>
    <row r="12" spans="1:35" x14ac:dyDescent="0.25">
      <c r="E12" t="s">
        <v>13</v>
      </c>
      <c r="H12" s="447">
        <f>'Assumption Table'!$I$11</f>
        <v>0.14667350535212248</v>
      </c>
      <c r="I12" s="447">
        <f>'Assumption Table'!$I$11</f>
        <v>0.14667350535212248</v>
      </c>
      <c r="J12" s="447">
        <f>'Assumption Table'!$I$11</f>
        <v>0.14667350535212248</v>
      </c>
      <c r="K12" s="447">
        <f>'Assumption Table'!$I$11</f>
        <v>0.14667350535212248</v>
      </c>
      <c r="L12" s="447">
        <f>'Assumption Table'!$I$11</f>
        <v>0.14667350535212248</v>
      </c>
    </row>
    <row r="13" spans="1:35" x14ac:dyDescent="0.25">
      <c r="E13" t="s">
        <v>16</v>
      </c>
      <c r="H13" s="447">
        <f>$H$12+'Assumption Table'!$I$58</f>
        <v>0.16667350535212247</v>
      </c>
      <c r="I13" s="447">
        <f>$H$12+'Assumption Table'!$I$58</f>
        <v>0.16667350535212247</v>
      </c>
      <c r="J13" s="447">
        <f>$H$12+'Assumption Table'!$I$58</f>
        <v>0.16667350535212247</v>
      </c>
      <c r="K13" s="447">
        <f>$H$12+'Assumption Table'!$I$58</f>
        <v>0.16667350535212247</v>
      </c>
      <c r="L13" s="447">
        <f>$H$12+'Assumption Table'!$I$58</f>
        <v>0.16667350535212247</v>
      </c>
    </row>
    <row r="14" spans="1:35" x14ac:dyDescent="0.25">
      <c r="E14" t="s">
        <v>17</v>
      </c>
      <c r="H14" s="447">
        <f>$H$12+'Assumption Table'!$I$59</f>
        <v>0.12667350535212249</v>
      </c>
      <c r="I14" s="447">
        <f>$H$12+'Assumption Table'!$I$59</f>
        <v>0.12667350535212249</v>
      </c>
      <c r="J14" s="447">
        <f>$H$12+'Assumption Table'!$I$59</f>
        <v>0.12667350535212249</v>
      </c>
      <c r="K14" s="447">
        <f>$H$12+'Assumption Table'!$I$59</f>
        <v>0.12667350535212249</v>
      </c>
      <c r="L14" s="447">
        <f>$H$12+'Assumption Table'!$I$59</f>
        <v>0.12667350535212249</v>
      </c>
    </row>
    <row r="16" spans="1:35" x14ac:dyDescent="0.25">
      <c r="AI16" s="436"/>
    </row>
    <row r="17" spans="2:12" x14ac:dyDescent="0.25">
      <c r="C17" s="449" t="str">
        <f>'Assumption Table'!B60</f>
        <v>Average Paying Membership</v>
      </c>
    </row>
    <row r="18" spans="2:12" x14ac:dyDescent="0.25">
      <c r="E18" s="444" t="s">
        <v>762</v>
      </c>
      <c r="F18" s="60"/>
      <c r="G18" s="60"/>
      <c r="H18" s="445">
        <f>CHOOSE($A$1,H20,H21,H22)</f>
        <v>0.12837114488899898</v>
      </c>
      <c r="I18" s="446">
        <f>CHOOSE($A$1,I20,I21,I22)</f>
        <v>0.12837114488899898</v>
      </c>
      <c r="J18" s="446">
        <f t="shared" ref="J18:L18" si="1">CHOOSE($A$1,J20,J21,J22)</f>
        <v>0.12837114488899898</v>
      </c>
      <c r="K18" s="446">
        <f t="shared" si="1"/>
        <v>0.12837114488899898</v>
      </c>
      <c r="L18" s="446">
        <f t="shared" si="1"/>
        <v>0.12837114488899898</v>
      </c>
    </row>
    <row r="20" spans="2:12" x14ac:dyDescent="0.25">
      <c r="E20" t="s">
        <v>13</v>
      </c>
      <c r="H20" s="447">
        <f>'Assumption Table'!I19</f>
        <v>0.12837114488899898</v>
      </c>
      <c r="I20" s="447">
        <f>H20</f>
        <v>0.12837114488899898</v>
      </c>
      <c r="J20" s="447">
        <f t="shared" ref="J20:L20" si="2">I20</f>
        <v>0.12837114488899898</v>
      </c>
      <c r="K20" s="447">
        <f t="shared" si="2"/>
        <v>0.12837114488899898</v>
      </c>
      <c r="L20" s="447">
        <f t="shared" si="2"/>
        <v>0.12837114488899898</v>
      </c>
    </row>
    <row r="21" spans="2:12" x14ac:dyDescent="0.25">
      <c r="E21" t="s">
        <v>16</v>
      </c>
      <c r="H21" s="447">
        <f>H20+'Assumption Table'!$I$61</f>
        <v>0.13837114488899899</v>
      </c>
      <c r="I21" s="447">
        <f>I20+'Assumption Table'!$I$61</f>
        <v>0.13837114488899899</v>
      </c>
      <c r="J21" s="447">
        <f>J20+'Assumption Table'!$I$61</f>
        <v>0.13837114488899899</v>
      </c>
      <c r="K21" s="447">
        <f>K20+'Assumption Table'!$I$61</f>
        <v>0.13837114488899899</v>
      </c>
      <c r="L21" s="447">
        <f>L20+'Assumption Table'!$I$61</f>
        <v>0.13837114488899899</v>
      </c>
    </row>
    <row r="22" spans="2:12" x14ac:dyDescent="0.25">
      <c r="E22" t="s">
        <v>17</v>
      </c>
      <c r="H22" s="447">
        <f>$H$20+'Assumption Table'!$I$62</f>
        <v>0.12337114488899897</v>
      </c>
      <c r="I22" s="447">
        <f>$H$20+'Assumption Table'!$I$62</f>
        <v>0.12337114488899897</v>
      </c>
      <c r="J22" s="447">
        <f>$H$20+'Assumption Table'!$I$62</f>
        <v>0.12337114488899897</v>
      </c>
      <c r="K22" s="447">
        <f>$H$20+'Assumption Table'!$I$62</f>
        <v>0.12337114488899897</v>
      </c>
      <c r="L22" s="447">
        <f>$H$20+'Assumption Table'!$I$62</f>
        <v>0.12337114488899897</v>
      </c>
    </row>
    <row r="24" spans="2:12" x14ac:dyDescent="0.25">
      <c r="C24" s="449" t="str">
        <f>'Assumption Table'!B63</f>
        <v>Paid net membership additions</v>
      </c>
    </row>
    <row r="25" spans="2:12" x14ac:dyDescent="0.25">
      <c r="E25" s="444" t="s">
        <v>762</v>
      </c>
      <c r="F25" s="60"/>
      <c r="G25" s="60"/>
      <c r="H25" s="445">
        <f>CHOOSE($A$1,H27,H28,H29)</f>
        <v>0.40359561083490425</v>
      </c>
      <c r="I25" s="446">
        <f>CHOOSE($A$1,I27,I28,I29)</f>
        <v>0.40359561083490425</v>
      </c>
      <c r="J25" s="446">
        <f t="shared" ref="J25:L25" si="3">CHOOSE($A$1,J27,J28,J29)</f>
        <v>0.40359561083490425</v>
      </c>
      <c r="K25" s="446">
        <f t="shared" si="3"/>
        <v>0.40359561083490425</v>
      </c>
      <c r="L25" s="446">
        <f t="shared" si="3"/>
        <v>0.40359561083490425</v>
      </c>
    </row>
    <row r="27" spans="2:12" x14ac:dyDescent="0.25">
      <c r="E27" t="s">
        <v>13</v>
      </c>
      <c r="H27" s="447">
        <f>'Assumption Table'!I17</f>
        <v>0.40359561083490425</v>
      </c>
      <c r="I27" s="447">
        <f>H27</f>
        <v>0.40359561083490425</v>
      </c>
      <c r="J27" s="447">
        <f t="shared" ref="J27:L27" si="4">I27</f>
        <v>0.40359561083490425</v>
      </c>
      <c r="K27" s="447">
        <f t="shared" si="4"/>
        <v>0.40359561083490425</v>
      </c>
      <c r="L27" s="447">
        <f t="shared" si="4"/>
        <v>0.40359561083490425</v>
      </c>
    </row>
    <row r="28" spans="2:12" x14ac:dyDescent="0.25">
      <c r="E28" t="s">
        <v>16</v>
      </c>
      <c r="H28" s="447">
        <f>'Scenario Table'!H27+'Assumption Table'!$I$64</f>
        <v>0.43359561083490428</v>
      </c>
      <c r="I28" s="447">
        <f>'Scenario Table'!I27+'Assumption Table'!$I$64</f>
        <v>0.43359561083490428</v>
      </c>
      <c r="J28" s="447">
        <f>'Scenario Table'!J27+'Assumption Table'!$I$64</f>
        <v>0.43359561083490428</v>
      </c>
      <c r="K28" s="447">
        <f>'Scenario Table'!K27+'Assumption Table'!$I$64</f>
        <v>0.43359561083490428</v>
      </c>
      <c r="L28" s="447">
        <f>'Scenario Table'!L27+'Assumption Table'!$I$64</f>
        <v>0.43359561083490428</v>
      </c>
    </row>
    <row r="29" spans="2:12" x14ac:dyDescent="0.25">
      <c r="E29" t="s">
        <v>17</v>
      </c>
      <c r="H29" s="447">
        <f>H27+'Assumption Table'!$I$65</f>
        <v>0.37359561083490422</v>
      </c>
      <c r="I29" s="447">
        <f>I27+'Assumption Table'!$I$65</f>
        <v>0.37359561083490422</v>
      </c>
      <c r="J29" s="447">
        <f>J27+'Assumption Table'!$I$65</f>
        <v>0.37359561083490422</v>
      </c>
      <c r="K29" s="447">
        <f>K27+'Assumption Table'!$I$65</f>
        <v>0.37359561083490422</v>
      </c>
      <c r="L29" s="447">
        <f>L27+'Assumption Table'!$I$65</f>
        <v>0.37359561083490422</v>
      </c>
    </row>
    <row r="32" spans="2:12" x14ac:dyDescent="0.25">
      <c r="B32" s="449" t="str">
        <f>'Assumption Table'!B67</f>
        <v>Key  Operating Expense Risky Variables</v>
      </c>
    </row>
    <row r="33" spans="3:12" x14ac:dyDescent="0.25">
      <c r="C33" s="449" t="str">
        <f>'Assumption Table'!B68</f>
        <v>Technology and development</v>
      </c>
    </row>
    <row r="34" spans="3:12" x14ac:dyDescent="0.25">
      <c r="E34" s="444" t="s">
        <v>762</v>
      </c>
      <c r="F34" s="60"/>
      <c r="G34" s="60"/>
      <c r="H34" s="445">
        <f>CHOOSE($A$1,H36,H37,H38)</f>
        <v>0.13988385509409934</v>
      </c>
      <c r="I34" s="446">
        <f>CHOOSE($A$1,I36,I37,I38)</f>
        <v>0.13988385509409934</v>
      </c>
      <c r="J34" s="446">
        <f t="shared" ref="J34:L34" si="5">CHOOSE($A$1,J36,J37,J38)</f>
        <v>0.13988385509409934</v>
      </c>
      <c r="K34" s="446">
        <f t="shared" si="5"/>
        <v>0.13988385509409934</v>
      </c>
      <c r="L34" s="446">
        <f t="shared" si="5"/>
        <v>0.13988385509409934</v>
      </c>
    </row>
    <row r="36" spans="3:12" x14ac:dyDescent="0.25">
      <c r="E36" t="s">
        <v>13</v>
      </c>
      <c r="H36" s="447">
        <f>'Assumption Table'!$I$32</f>
        <v>0.13988385509409934</v>
      </c>
      <c r="I36" s="447">
        <f>'Assumption Table'!$I$32</f>
        <v>0.13988385509409934</v>
      </c>
      <c r="J36" s="447">
        <f>'Assumption Table'!$I$32</f>
        <v>0.13988385509409934</v>
      </c>
      <c r="K36" s="447">
        <f>'Assumption Table'!$I$32</f>
        <v>0.13988385509409934</v>
      </c>
      <c r="L36" s="447">
        <f>'Assumption Table'!$I$32</f>
        <v>0.13988385509409934</v>
      </c>
    </row>
    <row r="37" spans="3:12" x14ac:dyDescent="0.25">
      <c r="E37" t="s">
        <v>16</v>
      </c>
      <c r="H37" s="447">
        <f>H36+'Assumption Table'!$I$69</f>
        <v>0.11988385509409934</v>
      </c>
      <c r="I37" s="447">
        <f>I36+'Assumption Table'!$I$69</f>
        <v>0.11988385509409934</v>
      </c>
      <c r="J37" s="447">
        <f>J36+'Assumption Table'!$I$69</f>
        <v>0.11988385509409934</v>
      </c>
      <c r="K37" s="447">
        <f>K36+'Assumption Table'!$I$69</f>
        <v>0.11988385509409934</v>
      </c>
      <c r="L37" s="447">
        <f>L36+'Assumption Table'!$I$69</f>
        <v>0.11988385509409934</v>
      </c>
    </row>
    <row r="38" spans="3:12" x14ac:dyDescent="0.25">
      <c r="E38" t="s">
        <v>17</v>
      </c>
      <c r="H38" s="447">
        <f>H36+'Assumption Table'!$J$70</f>
        <v>0.13988385509409934</v>
      </c>
      <c r="I38" s="447">
        <f>I36+'Assumption Table'!$J$70</f>
        <v>0.13988385509409934</v>
      </c>
      <c r="J38" s="447">
        <f>J36+'Assumption Table'!$J$70</f>
        <v>0.13988385509409934</v>
      </c>
      <c r="K38" s="447">
        <f>K36+'Assumption Table'!$J$70</f>
        <v>0.13988385509409934</v>
      </c>
      <c r="L38" s="447">
        <f>L36+'Assumption Table'!$J$70</f>
        <v>0.13988385509409934</v>
      </c>
    </row>
    <row r="40" spans="3:12" x14ac:dyDescent="0.25">
      <c r="C40" s="449" t="str">
        <f>'Assumption Table'!B71</f>
        <v>General and administrative</v>
      </c>
    </row>
    <row r="41" spans="3:12" x14ac:dyDescent="0.25">
      <c r="E41" s="444" t="s">
        <v>762</v>
      </c>
      <c r="F41" s="60"/>
      <c r="G41" s="60"/>
      <c r="H41" s="445">
        <f>CHOOSE($A$1,H43,H44,H45)</f>
        <v>0.13593905480497098</v>
      </c>
      <c r="I41" s="446">
        <f>CHOOSE($A$1,I43,I44,I45)</f>
        <v>0.13593905480497098</v>
      </c>
      <c r="J41" s="446">
        <f t="shared" ref="J41:L41" si="6">CHOOSE($A$1,J43,J44,J45)</f>
        <v>0.13593905480497098</v>
      </c>
      <c r="K41" s="446">
        <f t="shared" si="6"/>
        <v>0.13593905480497098</v>
      </c>
      <c r="L41" s="446">
        <f t="shared" si="6"/>
        <v>0.13593905480497098</v>
      </c>
    </row>
    <row r="43" spans="3:12" x14ac:dyDescent="0.25">
      <c r="E43" t="s">
        <v>13</v>
      </c>
      <c r="H43" s="447">
        <f>'Assumption Table'!$I$34</f>
        <v>0.13593905480497098</v>
      </c>
      <c r="I43" s="447">
        <f>'Assumption Table'!$I$34</f>
        <v>0.13593905480497098</v>
      </c>
      <c r="J43" s="447">
        <f>'Assumption Table'!$I$34</f>
        <v>0.13593905480497098</v>
      </c>
      <c r="K43" s="447">
        <f>'Assumption Table'!$I$34</f>
        <v>0.13593905480497098</v>
      </c>
      <c r="L43" s="447">
        <f>'Assumption Table'!$I$34</f>
        <v>0.13593905480497098</v>
      </c>
    </row>
    <row r="44" spans="3:12" x14ac:dyDescent="0.25">
      <c r="E44" t="s">
        <v>16</v>
      </c>
      <c r="H44" s="447">
        <f>H43+'Assumption Table'!$I$72</f>
        <v>0.12093905480497098</v>
      </c>
      <c r="I44" s="447">
        <f>I43+'Assumption Table'!$I$72</f>
        <v>0.12093905480497098</v>
      </c>
      <c r="J44" s="447">
        <f>J43+'Assumption Table'!$I$72</f>
        <v>0.12093905480497098</v>
      </c>
      <c r="K44" s="447">
        <f>K43+'Assumption Table'!$I$72</f>
        <v>0.12093905480497098</v>
      </c>
      <c r="L44" s="447">
        <f>L43+'Assumption Table'!$I$72</f>
        <v>0.12093905480497098</v>
      </c>
    </row>
    <row r="45" spans="3:12" x14ac:dyDescent="0.25">
      <c r="E45" t="s">
        <v>17</v>
      </c>
      <c r="H45" s="447">
        <f>H43+'Assumption Table'!$I$73</f>
        <v>0.150939054804971</v>
      </c>
      <c r="I45" s="447">
        <f>I43+'Assumption Table'!$I$73</f>
        <v>0.150939054804971</v>
      </c>
      <c r="J45" s="447">
        <f>J43+'Assumption Table'!$I$73</f>
        <v>0.150939054804971</v>
      </c>
      <c r="K45" s="447">
        <f>K43+'Assumption Table'!$I$73</f>
        <v>0.150939054804971</v>
      </c>
      <c r="L45" s="447">
        <f>L43+'Assumption Table'!$I$73</f>
        <v>0.150939054804971</v>
      </c>
    </row>
    <row r="47" spans="3:12" x14ac:dyDescent="0.25">
      <c r="C47" s="449" t="str">
        <f>'Assumption Table'!B74</f>
        <v>Sales and Marketing</v>
      </c>
    </row>
    <row r="48" spans="3:12" x14ac:dyDescent="0.25">
      <c r="E48" s="444" t="s">
        <v>762</v>
      </c>
      <c r="F48" s="60"/>
      <c r="G48" s="60"/>
      <c r="H48" s="445">
        <f>CHOOSE($A$1,H50,H51,H52)</f>
        <v>2.4910760719272177E-2</v>
      </c>
      <c r="I48" s="446">
        <f>CHOOSE($A$1,I50,I51,I52)</f>
        <v>2.4910760719272177E-2</v>
      </c>
      <c r="J48" s="446">
        <f t="shared" ref="J48:L48" si="7">CHOOSE($A$1,J50,J51,J52)</f>
        <v>2.4910760719272177E-2</v>
      </c>
      <c r="K48" s="446">
        <f t="shared" si="7"/>
        <v>2.4910760719272177E-2</v>
      </c>
      <c r="L48" s="446">
        <f t="shared" si="7"/>
        <v>2.4910760719272177E-2</v>
      </c>
    </row>
    <row r="50" spans="2:12" x14ac:dyDescent="0.25">
      <c r="E50" t="s">
        <v>13</v>
      </c>
      <c r="H50" s="447">
        <f>'Assumption Table'!$I$31</f>
        <v>2.4910760719272177E-2</v>
      </c>
      <c r="I50" s="447">
        <f>'Assumption Table'!$I$31</f>
        <v>2.4910760719272177E-2</v>
      </c>
      <c r="J50" s="447">
        <f>'Assumption Table'!$I$31</f>
        <v>2.4910760719272177E-2</v>
      </c>
      <c r="K50" s="447">
        <f>'Assumption Table'!$I$31</f>
        <v>2.4910760719272177E-2</v>
      </c>
      <c r="L50" s="447">
        <f>'Assumption Table'!$I$31</f>
        <v>2.4910760719272177E-2</v>
      </c>
    </row>
    <row r="51" spans="2:12" x14ac:dyDescent="0.25">
      <c r="E51" t="s">
        <v>16</v>
      </c>
      <c r="H51" s="447">
        <f>H50+'Assumption Table'!$I$75</f>
        <v>1.4910760719272177E-2</v>
      </c>
      <c r="I51" s="447">
        <f>I50+'Assumption Table'!$I$75</f>
        <v>1.4910760719272177E-2</v>
      </c>
      <c r="J51" s="447">
        <f>J50+'Assumption Table'!$I$75</f>
        <v>1.4910760719272177E-2</v>
      </c>
      <c r="K51" s="447">
        <f>K50+'Assumption Table'!$I$75</f>
        <v>1.4910760719272177E-2</v>
      </c>
      <c r="L51" s="447">
        <f>L50+'Assumption Table'!$I$75</f>
        <v>1.4910760719272177E-2</v>
      </c>
    </row>
    <row r="52" spans="2:12" x14ac:dyDescent="0.25">
      <c r="E52" t="s">
        <v>17</v>
      </c>
      <c r="H52" s="447">
        <f>H50+'Assumption Table'!$I$76</f>
        <v>3.4910760719272176E-2</v>
      </c>
      <c r="I52" s="447">
        <f>I50+'Assumption Table'!$I$76</f>
        <v>3.4910760719272176E-2</v>
      </c>
      <c r="J52" s="447">
        <f>J50+'Assumption Table'!$I$76</f>
        <v>3.4910760719272176E-2</v>
      </c>
      <c r="K52" s="447">
        <f>K50+'Assumption Table'!$I$76</f>
        <v>3.4910760719272176E-2</v>
      </c>
      <c r="L52" s="447">
        <f>L50+'Assumption Table'!$I$76</f>
        <v>3.4910760719272176E-2</v>
      </c>
    </row>
    <row r="54" spans="2:12" x14ac:dyDescent="0.25">
      <c r="C54" s="449" t="str">
        <f>'Assumption Table'!B78</f>
        <v xml:space="preserve">Terminal Value Growth </v>
      </c>
    </row>
    <row r="55" spans="2:12" x14ac:dyDescent="0.25">
      <c r="E55" s="444" t="s">
        <v>762</v>
      </c>
      <c r="F55" s="60"/>
      <c r="G55" s="60"/>
      <c r="H55" s="445">
        <f>CHOOSE($A$1,H57,H58,H59)</f>
        <v>0.04</v>
      </c>
      <c r="I55" s="446">
        <f>CHOOSE($A$1,I57,I58,I59)</f>
        <v>0.04</v>
      </c>
      <c r="J55" s="446">
        <f t="shared" ref="J55:L55" si="8">CHOOSE($A$1,J57,J58,J59)</f>
        <v>0.04</v>
      </c>
      <c r="K55" s="446">
        <f t="shared" si="8"/>
        <v>0.04</v>
      </c>
      <c r="L55" s="446">
        <f t="shared" si="8"/>
        <v>0.04</v>
      </c>
    </row>
    <row r="57" spans="2:12" x14ac:dyDescent="0.25">
      <c r="E57" t="s">
        <v>13</v>
      </c>
      <c r="H57" s="447">
        <f>'Assumption Table'!$Q$69</f>
        <v>0.04</v>
      </c>
      <c r="I57" s="447">
        <f>'Assumption Table'!$Q$69</f>
        <v>0.04</v>
      </c>
      <c r="J57" s="447">
        <f>'Assumption Table'!$Q$69</f>
        <v>0.04</v>
      </c>
      <c r="K57" s="447">
        <f>'Assumption Table'!$Q$69</f>
        <v>0.04</v>
      </c>
      <c r="L57" s="447">
        <f>'Assumption Table'!$Q$69</f>
        <v>0.04</v>
      </c>
    </row>
    <row r="58" spans="2:12" x14ac:dyDescent="0.25">
      <c r="E58" t="s">
        <v>16</v>
      </c>
      <c r="H58" s="447">
        <f>H57+'Assumption Table'!$I$79</f>
        <v>0.06</v>
      </c>
      <c r="I58" s="447">
        <f>I57+'Assumption Table'!$I$79</f>
        <v>0.06</v>
      </c>
      <c r="J58" s="447">
        <f>J57+'Assumption Table'!$I$79</f>
        <v>0.06</v>
      </c>
      <c r="K58" s="447">
        <f>K57+'Assumption Table'!$I$79</f>
        <v>0.06</v>
      </c>
      <c r="L58" s="447">
        <f>L57+'Assumption Table'!$I$79</f>
        <v>0.06</v>
      </c>
    </row>
    <row r="59" spans="2:12" x14ac:dyDescent="0.25">
      <c r="E59" t="s">
        <v>17</v>
      </c>
      <c r="H59" s="447">
        <f>H57+'Assumption Table'!$I$80</f>
        <v>0.02</v>
      </c>
      <c r="I59" s="447">
        <f>I57+'Assumption Table'!$I$80</f>
        <v>0.02</v>
      </c>
      <c r="J59" s="447">
        <f>J57+'Assumption Table'!$I$80</f>
        <v>0.02</v>
      </c>
      <c r="K59" s="447">
        <f>K57+'Assumption Table'!$I$80</f>
        <v>0.02</v>
      </c>
      <c r="L59" s="447">
        <f>L57+'Assumption Table'!$I$80</f>
        <v>0.02</v>
      </c>
    </row>
    <row r="61" spans="2:12" x14ac:dyDescent="0.25">
      <c r="B61" s="449" t="str">
        <f>'Assumption Table'!B81</f>
        <v>Discount Rates (Cost of Equity and Cost of Debt)</v>
      </c>
      <c r="C61" s="449"/>
    </row>
    <row r="62" spans="2:12" x14ac:dyDescent="0.25">
      <c r="C62" s="449" t="s">
        <v>763</v>
      </c>
    </row>
    <row r="63" spans="2:12" x14ac:dyDescent="0.25">
      <c r="E63" s="444" t="s">
        <v>762</v>
      </c>
      <c r="F63" s="60"/>
      <c r="G63" s="60"/>
      <c r="H63" s="445">
        <f>CHOOSE($A$1,H65,H66,H67)</f>
        <v>0.14433554003272947</v>
      </c>
      <c r="I63" s="446">
        <f>CHOOSE($A$1,I65,I66,I67)</f>
        <v>0.14433554003272947</v>
      </c>
      <c r="J63" s="446">
        <f t="shared" ref="J63:L63" si="9">CHOOSE($A$1,J65,J66,J67)</f>
        <v>0.14433554003272947</v>
      </c>
      <c r="K63" s="446">
        <f t="shared" si="9"/>
        <v>0.14433554003272947</v>
      </c>
      <c r="L63" s="446">
        <f t="shared" si="9"/>
        <v>0.14433554003272947</v>
      </c>
    </row>
    <row r="65" spans="3:12" x14ac:dyDescent="0.25">
      <c r="E65" t="s">
        <v>13</v>
      </c>
      <c r="H65" s="447">
        <f>'Assumption Table'!$Q$54</f>
        <v>0.14433554003272947</v>
      </c>
      <c r="I65" s="447">
        <f>'Assumption Table'!$Q$54</f>
        <v>0.14433554003272947</v>
      </c>
      <c r="J65" s="447">
        <f>'Assumption Table'!$Q$54</f>
        <v>0.14433554003272947</v>
      </c>
      <c r="K65" s="447">
        <f>'Assumption Table'!$Q$54</f>
        <v>0.14433554003272947</v>
      </c>
      <c r="L65" s="447">
        <f>'Assumption Table'!$Q$54</f>
        <v>0.14433554003272947</v>
      </c>
    </row>
    <row r="66" spans="3:12" x14ac:dyDescent="0.25">
      <c r="E66" t="s">
        <v>16</v>
      </c>
      <c r="H66" s="447">
        <f>H65+'Assumption Table'!$I$82</f>
        <v>0.12933554003272946</v>
      </c>
      <c r="I66" s="447">
        <f>I65+'Assumption Table'!$I$82</f>
        <v>0.12933554003272946</v>
      </c>
      <c r="J66" s="447">
        <f>J65+'Assumption Table'!$I$82</f>
        <v>0.12933554003272946</v>
      </c>
      <c r="K66" s="447">
        <f>K65+'Assumption Table'!$I$82</f>
        <v>0.12933554003272946</v>
      </c>
      <c r="L66" s="447">
        <f>L65+'Assumption Table'!$I$82</f>
        <v>0.12933554003272946</v>
      </c>
    </row>
    <row r="67" spans="3:12" x14ac:dyDescent="0.25">
      <c r="E67" t="s">
        <v>17</v>
      </c>
      <c r="H67" s="447">
        <f>H65+'Assumption Table'!$I$83</f>
        <v>0.15933554003272948</v>
      </c>
      <c r="I67" s="447">
        <f>I65+'Assumption Table'!$I$83</f>
        <v>0.15933554003272948</v>
      </c>
      <c r="J67" s="447">
        <f>J65+'Assumption Table'!$I$83</f>
        <v>0.15933554003272948</v>
      </c>
      <c r="K67" s="447">
        <f>K65+'Assumption Table'!$I$83</f>
        <v>0.15933554003272948</v>
      </c>
      <c r="L67" s="447">
        <f>L65+'Assumption Table'!$I$83</f>
        <v>0.15933554003272948</v>
      </c>
    </row>
    <row r="69" spans="3:12" x14ac:dyDescent="0.25">
      <c r="C69" s="449" t="s">
        <v>764</v>
      </c>
    </row>
    <row r="70" spans="3:12" x14ac:dyDescent="0.25">
      <c r="E70" s="444" t="s">
        <v>762</v>
      </c>
      <c r="F70" s="60"/>
      <c r="G70" s="60"/>
      <c r="H70" s="445">
        <f>CHOOSE($A$1,H72,H73,H74)</f>
        <v>4.5416581074180805E-2</v>
      </c>
      <c r="I70" s="446">
        <f>CHOOSE($A$1,I72,I73,I74)</f>
        <v>4.5416581074180805E-2</v>
      </c>
      <c r="J70" s="446">
        <f t="shared" ref="J70:L70" si="10">CHOOSE($A$1,J72,J73,J74)</f>
        <v>4.5416581074180805E-2</v>
      </c>
      <c r="K70" s="446">
        <f t="shared" si="10"/>
        <v>4.5416581074180805E-2</v>
      </c>
      <c r="L70" s="446">
        <f t="shared" si="10"/>
        <v>4.5416581074180805E-2</v>
      </c>
    </row>
    <row r="72" spans="3:12" x14ac:dyDescent="0.25">
      <c r="E72" t="s">
        <v>13</v>
      </c>
      <c r="H72" s="447">
        <f>'Assumption Table'!$Q$55</f>
        <v>4.5416581074180805E-2</v>
      </c>
      <c r="I72" s="447">
        <f>'Assumption Table'!$Q$55</f>
        <v>4.5416581074180805E-2</v>
      </c>
      <c r="J72" s="447">
        <f>'Assumption Table'!$Q$55</f>
        <v>4.5416581074180805E-2</v>
      </c>
      <c r="K72" s="447">
        <f>'Assumption Table'!$Q$55</f>
        <v>4.5416581074180805E-2</v>
      </c>
      <c r="L72" s="447">
        <f>'Assumption Table'!$Q$55</f>
        <v>4.5416581074180805E-2</v>
      </c>
    </row>
    <row r="73" spans="3:12" x14ac:dyDescent="0.25">
      <c r="E73" t="s">
        <v>16</v>
      </c>
      <c r="H73" s="447">
        <f>H72+'Assumption Table'!$I$82</f>
        <v>3.0416581074180805E-2</v>
      </c>
      <c r="I73" s="447">
        <f>I72+'Assumption Table'!$I$82</f>
        <v>3.0416581074180805E-2</v>
      </c>
      <c r="J73" s="447">
        <f>J72+'Assumption Table'!$I$82</f>
        <v>3.0416581074180805E-2</v>
      </c>
      <c r="K73" s="447">
        <f>K72+'Assumption Table'!$I$82</f>
        <v>3.0416581074180805E-2</v>
      </c>
      <c r="L73" s="447">
        <f>L72+'Assumption Table'!$I$82</f>
        <v>3.0416581074180805E-2</v>
      </c>
    </row>
    <row r="74" spans="3:12" x14ac:dyDescent="0.25">
      <c r="E74" t="s">
        <v>17</v>
      </c>
      <c r="H74" s="447">
        <f>H72+'Assumption Table'!$I$83</f>
        <v>6.0416581074180804E-2</v>
      </c>
      <c r="I74" s="447">
        <f>I72+'Assumption Table'!$I$83</f>
        <v>6.0416581074180804E-2</v>
      </c>
      <c r="J74" s="447">
        <f>J72+'Assumption Table'!$I$83</f>
        <v>6.0416581074180804E-2</v>
      </c>
      <c r="K74" s="447">
        <f>K72+'Assumption Table'!$I$83</f>
        <v>6.0416581074180804E-2</v>
      </c>
      <c r="L74" s="447">
        <f>L72+'Assumption Table'!$I$83</f>
        <v>6.0416581074180804E-2</v>
      </c>
    </row>
  </sheetData>
  <dataValidations disablePrompts="1" count="1">
    <dataValidation type="list" allowBlank="1" showInputMessage="1" showErrorMessage="1" sqref="D4">
      <formula1>"Base Case, Best Case, Worst Case"</formula1>
    </dataValidation>
  </dataValidations>
  <pageMargins left="0.7" right="0.7" top="0.75" bottom="0.75" header="0.3" footer="0.3"/>
  <pageSetup scale="83" fitToHeight="2" orientation="portrait" r:id="rId1"/>
  <headerFooter>
    <oddHeader>&amp;CScenario Analysis – Netflix, Inc.</oddHeader>
    <oddFooter xml:space="preserve">&amp;LPrepared by: Tolulope Oluwabunmi
&amp;CFor Portfolio &amp; Educational Purposes Only
&amp;R&amp;D | Page &amp;P of &amp;N
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2:II56"/>
  <sheetViews>
    <sheetView showGridLines="0" tabSelected="1" workbookViewId="0">
      <selection activeCell="K3" sqref="K3"/>
    </sheetView>
  </sheetViews>
  <sheetFormatPr defaultColWidth="9.140625" defaultRowHeight="11.25" x14ac:dyDescent="0.2"/>
  <cols>
    <col min="1" max="2" width="9.140625" style="1"/>
    <col min="3" max="3" width="41.42578125" style="1" bestFit="1" customWidth="1"/>
    <col min="4" max="4" width="10" style="1" bestFit="1" customWidth="1"/>
    <col min="5" max="5" width="7.7109375" style="1" customWidth="1"/>
    <col min="6" max="6" width="23.28515625" style="1" bestFit="1" customWidth="1"/>
    <col min="7" max="16384" width="9.140625" style="1"/>
  </cols>
  <sheetData>
    <row r="2" spans="1:243" ht="18.75" x14ac:dyDescent="0.3">
      <c r="C2" s="21"/>
      <c r="D2" s="450" t="str">
        <f>"Currently Running: "&amp;'Scenario Table'!D4</f>
        <v>Currently Running: Base Case</v>
      </c>
      <c r="E2" s="378"/>
      <c r="F2" s="21"/>
      <c r="G2" s="21"/>
    </row>
    <row r="3" spans="1:243" ht="12" thickBot="1" x14ac:dyDescent="0.25">
      <c r="C3" s="21"/>
      <c r="D3" s="21"/>
      <c r="E3" s="21"/>
      <c r="F3" s="21"/>
      <c r="G3" s="21"/>
    </row>
    <row r="4" spans="1:243" ht="15" thickBot="1" x14ac:dyDescent="0.25">
      <c r="C4" s="472" t="s">
        <v>23</v>
      </c>
      <c r="D4" s="473"/>
      <c r="E4" s="21"/>
      <c r="F4" s="471" t="str">
        <f>'Assumption Table'!L76</f>
        <v>Trading Multiple of Netflix</v>
      </c>
      <c r="G4" s="21"/>
    </row>
    <row r="5" spans="1:243" ht="14.25" x14ac:dyDescent="0.2">
      <c r="C5" s="119" t="s">
        <v>24</v>
      </c>
      <c r="D5" s="380">
        <f>'Assumption Table'!R72</f>
        <v>3.0377777777777779</v>
      </c>
      <c r="E5" s="21"/>
      <c r="F5" s="379">
        <f>'Assumption Table'!R77</f>
        <v>9.39</v>
      </c>
      <c r="G5" s="21"/>
    </row>
    <row r="6" spans="1:243" ht="14.25" x14ac:dyDescent="0.2">
      <c r="C6" s="119" t="s">
        <v>25</v>
      </c>
      <c r="D6" s="380">
        <f>'Assumption Table'!R73</f>
        <v>16.385555555555555</v>
      </c>
      <c r="E6" s="21"/>
      <c r="F6" s="379">
        <f>'Assumption Table'!R78</f>
        <v>28.14</v>
      </c>
      <c r="G6" s="21"/>
    </row>
    <row r="7" spans="1:243" ht="14.25" x14ac:dyDescent="0.2">
      <c r="C7" s="381" t="s">
        <v>26</v>
      </c>
      <c r="D7" s="382">
        <f>'Assumption Table'!R74</f>
        <v>34.172000000000004</v>
      </c>
      <c r="E7" s="21"/>
      <c r="F7" s="379">
        <f>'Assumption Table'!R79</f>
        <v>32.590000000000003</v>
      </c>
      <c r="G7" s="21"/>
    </row>
    <row r="8" spans="1:243" x14ac:dyDescent="0.2">
      <c r="C8" s="21"/>
      <c r="D8" s="21"/>
      <c r="E8" s="21"/>
      <c r="F8" s="21"/>
      <c r="G8" s="21"/>
    </row>
    <row r="9" spans="1:243" x14ac:dyDescent="0.2">
      <c r="C9" s="21"/>
      <c r="D9" s="21"/>
      <c r="E9" s="21"/>
      <c r="F9" s="21"/>
      <c r="G9" s="21"/>
    </row>
    <row r="10" spans="1:243" x14ac:dyDescent="0.2">
      <c r="C10" s="21"/>
      <c r="D10" s="21"/>
      <c r="E10" s="21"/>
      <c r="F10" s="21"/>
      <c r="G10" s="21"/>
    </row>
    <row r="11" spans="1:243" ht="15.75" thickBot="1" x14ac:dyDescent="0.3">
      <c r="C11" s="383" t="s">
        <v>765</v>
      </c>
      <c r="D11" s="21"/>
      <c r="E11" s="21"/>
      <c r="F11" s="21"/>
      <c r="G11" s="21"/>
    </row>
    <row r="12" spans="1:243" ht="14.25" x14ac:dyDescent="0.2">
      <c r="C12" s="384" t="s">
        <v>766</v>
      </c>
      <c r="D12" s="385">
        <v>2025</v>
      </c>
      <c r="E12" s="21"/>
      <c r="F12" s="21"/>
      <c r="G12" s="21"/>
    </row>
    <row r="13" spans="1:243" ht="14.25" x14ac:dyDescent="0.2">
      <c r="A13" s="2"/>
      <c r="B13" s="2"/>
      <c r="C13" s="386" t="s">
        <v>767</v>
      </c>
      <c r="D13" s="387">
        <f>'The Model'!F184</f>
        <v>44721.374395338942</v>
      </c>
      <c r="E13" s="21"/>
      <c r="F13" s="21"/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</row>
    <row r="14" spans="1:243" ht="14.25" x14ac:dyDescent="0.2">
      <c r="C14" s="386" t="s">
        <v>768</v>
      </c>
      <c r="D14" s="387">
        <f>'The Model'!F196+'The Model'!F192</f>
        <v>12545.818352170585</v>
      </c>
      <c r="E14" s="388"/>
      <c r="F14" s="21"/>
      <c r="G14" s="21"/>
    </row>
    <row r="15" spans="1:243" ht="14.25" x14ac:dyDescent="0.2">
      <c r="C15" s="386" t="s">
        <v>769</v>
      </c>
      <c r="D15" s="387">
        <f>'DCF Valuation Table'!F8</f>
        <v>9347.3350470507721</v>
      </c>
      <c r="E15" s="388"/>
      <c r="F15" s="21"/>
      <c r="G15" s="21"/>
    </row>
    <row r="16" spans="1:243" ht="14.25" x14ac:dyDescent="0.2">
      <c r="C16" s="386" t="s">
        <v>770</v>
      </c>
      <c r="D16" s="387">
        <f>'DCF Valuation Table'!E28</f>
        <v>4261.5150000000003</v>
      </c>
      <c r="E16" s="388"/>
      <c r="F16" s="21"/>
      <c r="G16" s="21"/>
    </row>
    <row r="17" spans="3:7" ht="15" thickBot="1" x14ac:dyDescent="0.25">
      <c r="C17" s="389" t="s">
        <v>771</v>
      </c>
      <c r="D17" s="390">
        <f>D15/D16</f>
        <v>2.1934300470726424</v>
      </c>
      <c r="E17" s="21"/>
      <c r="F17" s="21"/>
      <c r="G17" s="21"/>
    </row>
    <row r="18" spans="3:7" ht="15" x14ac:dyDescent="0.25">
      <c r="C18" s="60"/>
      <c r="D18" s="60"/>
      <c r="E18" s="21"/>
      <c r="F18" s="21"/>
      <c r="G18" s="21"/>
    </row>
    <row r="19" spans="3:7" ht="15.75" thickBot="1" x14ac:dyDescent="0.3">
      <c r="C19" s="60"/>
      <c r="D19" s="60"/>
      <c r="E19" s="21"/>
      <c r="F19" s="21"/>
      <c r="G19" s="21"/>
    </row>
    <row r="20" spans="3:7" ht="15" x14ac:dyDescent="0.25">
      <c r="C20" s="391" t="s">
        <v>772</v>
      </c>
      <c r="D20" s="392">
        <f>D13*D5</f>
        <v>135853.59732984073</v>
      </c>
      <c r="E20" s="21"/>
      <c r="F20" s="21"/>
      <c r="G20" s="21"/>
    </row>
    <row r="21" spans="3:7" ht="15" x14ac:dyDescent="0.25">
      <c r="C21" s="393" t="s">
        <v>277</v>
      </c>
      <c r="D21" s="394">
        <f>'The Model'!F151</f>
        <v>14592.733333333332</v>
      </c>
      <c r="E21" s="21"/>
      <c r="F21" s="21"/>
      <c r="G21" s="21"/>
    </row>
    <row r="22" spans="3:7" ht="15" x14ac:dyDescent="0.25">
      <c r="C22" s="393" t="s">
        <v>270</v>
      </c>
      <c r="D22" s="394">
        <f>D20-D21</f>
        <v>121260.8639965074</v>
      </c>
      <c r="E22" s="21"/>
      <c r="F22" s="21"/>
      <c r="G22" s="21"/>
    </row>
    <row r="23" spans="3:7" ht="15" thickBot="1" x14ac:dyDescent="0.25">
      <c r="C23" s="395" t="s">
        <v>773</v>
      </c>
      <c r="D23" s="396">
        <f>D22/D16</f>
        <v>28.454872034125749</v>
      </c>
      <c r="E23" s="21"/>
      <c r="F23" s="21"/>
      <c r="G23" s="21"/>
    </row>
    <row r="24" spans="3:7" ht="15.75" thickBot="1" x14ac:dyDescent="0.3">
      <c r="C24" s="60"/>
      <c r="D24" s="60"/>
      <c r="E24" s="21"/>
      <c r="F24" s="21"/>
      <c r="G24" s="21"/>
    </row>
    <row r="25" spans="3:7" ht="15" x14ac:dyDescent="0.25">
      <c r="C25" s="391" t="s">
        <v>774</v>
      </c>
      <c r="D25" s="397">
        <f>D14*D6</f>
        <v>205570.20359939957</v>
      </c>
      <c r="E25" s="21"/>
      <c r="F25" s="21"/>
      <c r="G25" s="21"/>
    </row>
    <row r="26" spans="3:7" ht="15" x14ac:dyDescent="0.25">
      <c r="C26" s="393" t="s">
        <v>277</v>
      </c>
      <c r="D26" s="398">
        <f>D21</f>
        <v>14592.733333333332</v>
      </c>
      <c r="E26" s="21"/>
      <c r="F26" s="21"/>
      <c r="G26" s="21"/>
    </row>
    <row r="27" spans="3:7" ht="15" x14ac:dyDescent="0.25">
      <c r="C27" s="393" t="s">
        <v>270</v>
      </c>
      <c r="D27" s="398">
        <f>D25-D26</f>
        <v>190977.47026606623</v>
      </c>
      <c r="E27" s="21"/>
      <c r="F27" s="21"/>
      <c r="G27" s="21"/>
    </row>
    <row r="28" spans="3:7" ht="15" thickBot="1" x14ac:dyDescent="0.25">
      <c r="C28" s="395" t="s">
        <v>773</v>
      </c>
      <c r="D28" s="399">
        <f>D27/D16</f>
        <v>44.81445454634472</v>
      </c>
      <c r="E28" s="21"/>
      <c r="F28" s="21"/>
      <c r="G28" s="21"/>
    </row>
    <row r="29" spans="3:7" ht="15.75" thickBot="1" x14ac:dyDescent="0.3">
      <c r="C29" s="60"/>
      <c r="D29" s="60"/>
      <c r="E29" s="21"/>
      <c r="F29" s="21"/>
      <c r="G29" s="21"/>
    </row>
    <row r="30" spans="3:7" ht="15" thickBot="1" x14ac:dyDescent="0.25">
      <c r="C30" s="400" t="s">
        <v>775</v>
      </c>
      <c r="D30" s="401">
        <f>D17*D7</f>
        <v>74.953891568566348</v>
      </c>
      <c r="E30" s="21"/>
      <c r="F30" s="21"/>
      <c r="G30" s="21"/>
    </row>
    <row r="56" spans="1:243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</row>
  </sheetData>
  <pageMargins left="0.2" right="0.2" top="0.5" bottom="0.5" header="0.5" footer="0.5"/>
  <pageSetup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B1:J38"/>
  <sheetViews>
    <sheetView showGridLines="0" tabSelected="1" view="pageLayout" zoomScale="70" zoomScaleNormal="100" zoomScalePageLayoutView="70" workbookViewId="0">
      <selection activeCell="K3" sqref="K3"/>
    </sheetView>
  </sheetViews>
  <sheetFormatPr defaultColWidth="8.85546875" defaultRowHeight="15" x14ac:dyDescent="0.25"/>
  <cols>
    <col min="2" max="2" width="27.7109375" bestFit="1" customWidth="1"/>
    <col min="3" max="3" width="12.140625" bestFit="1" customWidth="1"/>
    <col min="4" max="4" width="59.42578125" bestFit="1" customWidth="1"/>
    <col min="5" max="5" width="15.140625" customWidth="1"/>
    <col min="6" max="6" width="13.7109375" customWidth="1"/>
    <col min="7" max="7" width="15.140625" customWidth="1"/>
    <col min="8" max="8" width="14.42578125" customWidth="1"/>
    <col min="9" max="9" width="14.85546875" customWidth="1"/>
    <col min="10" max="10" width="18.28515625" customWidth="1"/>
  </cols>
  <sheetData>
    <row r="1" spans="2:10" ht="15.75" thickBot="1" x14ac:dyDescent="0.3"/>
    <row r="2" spans="2:10" ht="18.75" x14ac:dyDescent="0.3">
      <c r="B2" s="351" t="s">
        <v>670</v>
      </c>
      <c r="C2" s="352">
        <f>'Scenario Table'!H63</f>
        <v>0.14433554003272947</v>
      </c>
      <c r="F2" s="450" t="str">
        <f>"Currently Running: "&amp;'Scenario Table'!D4</f>
        <v>Currently Running: Base Case</v>
      </c>
    </row>
    <row r="3" spans="2:10" x14ac:dyDescent="0.25">
      <c r="B3" s="353" t="s">
        <v>776</v>
      </c>
      <c r="C3" s="354">
        <f>'Scenario Table'!H70</f>
        <v>4.5416581074180805E-2</v>
      </c>
    </row>
    <row r="4" spans="2:10" x14ac:dyDescent="0.25">
      <c r="B4" s="353" t="s">
        <v>684</v>
      </c>
      <c r="C4" s="355">
        <f>'Assumption Table'!S64</f>
        <v>0.14007181257693413</v>
      </c>
    </row>
    <row r="5" spans="2:10" ht="15.75" thickBot="1" x14ac:dyDescent="0.3">
      <c r="B5" s="356" t="s">
        <v>777</v>
      </c>
      <c r="C5" s="357">
        <f>'Scenario Table'!H55</f>
        <v>0.04</v>
      </c>
      <c r="E5" s="358"/>
      <c r="F5" s="359"/>
      <c r="G5" s="360"/>
      <c r="H5" s="360"/>
      <c r="I5" s="360"/>
      <c r="J5" s="360"/>
    </row>
    <row r="6" spans="2:10" x14ac:dyDescent="0.25">
      <c r="E6" s="358">
        <f>F6-1</f>
        <v>2024</v>
      </c>
      <c r="F6" s="361">
        <f>'The Model'!F4</f>
        <v>2025</v>
      </c>
      <c r="G6" s="361">
        <f>F6+1</f>
        <v>2026</v>
      </c>
      <c r="H6" s="361">
        <v>2027</v>
      </c>
      <c r="I6" s="361">
        <f t="shared" ref="I6:J6" si="0">H6+1</f>
        <v>2028</v>
      </c>
      <c r="J6" s="361">
        <f t="shared" si="0"/>
        <v>2029</v>
      </c>
    </row>
    <row r="7" spans="2:10" x14ac:dyDescent="0.25">
      <c r="D7" s="362" t="s">
        <v>778</v>
      </c>
    </row>
    <row r="8" spans="2:10" x14ac:dyDescent="0.25">
      <c r="D8" s="363" t="s">
        <v>290</v>
      </c>
      <c r="E8" s="367"/>
      <c r="F8" s="367">
        <f>'The Model'!F206</f>
        <v>9347.3350470507721</v>
      </c>
      <c r="G8" s="367">
        <f>'The Model'!G206</f>
        <v>12745.640080977595</v>
      </c>
      <c r="H8" s="367">
        <f>'The Model'!H206</f>
        <v>18457.617352634959</v>
      </c>
      <c r="I8" s="367">
        <f>'The Model'!I206</f>
        <v>29813.922403004377</v>
      </c>
      <c r="J8" s="367">
        <f>'The Model'!J206</f>
        <v>55920.477698484436</v>
      </c>
    </row>
    <row r="9" spans="2:10" x14ac:dyDescent="0.25">
      <c r="D9" s="363" t="s">
        <v>742</v>
      </c>
      <c r="E9" s="367"/>
      <c r="F9" s="367">
        <f>'The Model'!F192</f>
        <v>213.52136666666667</v>
      </c>
      <c r="G9" s="367">
        <f>'The Model'!G192</f>
        <v>213.5699517614824</v>
      </c>
      <c r="H9" s="367">
        <f>'The Model'!H192</f>
        <v>213.60839583496346</v>
      </c>
      <c r="I9" s="367">
        <f>'The Model'!I192</f>
        <v>213.65247863546196</v>
      </c>
      <c r="J9" s="367">
        <f>'The Model'!J192</f>
        <v>213.70302721483537</v>
      </c>
    </row>
    <row r="10" spans="2:10" x14ac:dyDescent="0.25">
      <c r="D10" s="363" t="s">
        <v>779</v>
      </c>
      <c r="E10" s="367"/>
      <c r="F10" s="367">
        <f>'The Model'!F277</f>
        <v>-1915.1585703300236</v>
      </c>
      <c r="G10" s="367">
        <f>'The Model'!G277</f>
        <v>213.53285213299955</v>
      </c>
      <c r="H10" s="367">
        <f>'The Model'!H277</f>
        <v>276.13907345244252</v>
      </c>
      <c r="I10" s="367">
        <f>'The Model'!I277</f>
        <v>347.92796870965822</v>
      </c>
      <c r="J10" s="367">
        <f>'The Model'!J277</f>
        <v>430.2463928796069</v>
      </c>
    </row>
    <row r="11" spans="2:10" x14ac:dyDescent="0.25">
      <c r="D11" s="363" t="s">
        <v>741</v>
      </c>
      <c r="E11" s="367"/>
      <c r="F11" s="367">
        <f>'The Model'!F179</f>
        <v>-492.67746822008485</v>
      </c>
      <c r="G11" s="367">
        <f>'The Model'!G179</f>
        <v>271.67197142834084</v>
      </c>
      <c r="H11" s="367">
        <f>'The Model'!H179</f>
        <v>311.5190517836636</v>
      </c>
      <c r="I11" s="367">
        <f>'The Model'!I179</f>
        <v>357.21064309273424</v>
      </c>
      <c r="J11" s="367">
        <f>'The Model'!J179</f>
        <v>409.60398026423718</v>
      </c>
    </row>
    <row r="12" spans="2:10" x14ac:dyDescent="0.25">
      <c r="B12" t="s">
        <v>780</v>
      </c>
      <c r="D12" s="363" t="s">
        <v>278</v>
      </c>
      <c r="E12" s="367"/>
      <c r="F12" s="367">
        <f>'The Model'!F243-'The Model'!F214</f>
        <v>-8512.5762421219224</v>
      </c>
      <c r="G12" s="367">
        <f>'The Model'!G243-'The Model'!G214</f>
        <v>-22321.390769362595</v>
      </c>
      <c r="H12" s="367">
        <f>'The Model'!H243-'The Model'!H214</f>
        <v>-41966.835481705566</v>
      </c>
      <c r="I12" s="367">
        <f>'The Model'!I243-'The Model'!I214</f>
        <v>-73111.521437630261</v>
      </c>
      <c r="J12" s="367">
        <f>'The Model'!J243-'The Model'!J214</f>
        <v>-130526.66383474736</v>
      </c>
    </row>
    <row r="13" spans="2:10" x14ac:dyDescent="0.25">
      <c r="D13" s="362" t="s">
        <v>781</v>
      </c>
      <c r="E13" s="367"/>
      <c r="F13" s="367">
        <f>F8+F9+F10+F11</f>
        <v>7153.0203751673298</v>
      </c>
      <c r="G13" s="367">
        <f t="shared" ref="G13:J13" si="1">G8+G9+G10+G11</f>
        <v>13444.414856300418</v>
      </c>
      <c r="H13" s="367">
        <f t="shared" si="1"/>
        <v>19258.883873706029</v>
      </c>
      <c r="I13" s="367">
        <f t="shared" si="1"/>
        <v>30732.713493442228</v>
      </c>
      <c r="J13" s="367">
        <f t="shared" si="1"/>
        <v>56974.031098843116</v>
      </c>
    </row>
    <row r="14" spans="2:10" x14ac:dyDescent="0.25">
      <c r="D14" s="364" t="s">
        <v>782</v>
      </c>
      <c r="E14" s="367"/>
      <c r="F14" s="367"/>
      <c r="G14" s="367"/>
      <c r="H14" s="367"/>
      <c r="I14" s="367"/>
      <c r="J14" s="367">
        <f>((J13*(1+C5))/(C4-C5))</f>
        <v>592104.71777198778</v>
      </c>
    </row>
    <row r="15" spans="2:10" x14ac:dyDescent="0.25">
      <c r="D15" s="364" t="s">
        <v>783</v>
      </c>
      <c r="E15" s="367"/>
      <c r="F15" s="367">
        <f>SUM(F13:F14)</f>
        <v>7153.0203751673298</v>
      </c>
      <c r="G15" s="367">
        <f t="shared" ref="G15:J15" si="2">SUM(G13:G14)</f>
        <v>13444.414856300418</v>
      </c>
      <c r="H15" s="367">
        <f t="shared" si="2"/>
        <v>19258.883873706029</v>
      </c>
      <c r="I15" s="367">
        <f t="shared" si="2"/>
        <v>30732.713493442228</v>
      </c>
      <c r="J15" s="367">
        <f t="shared" si="2"/>
        <v>649078.74887083087</v>
      </c>
    </row>
    <row r="16" spans="2:10" x14ac:dyDescent="0.25">
      <c r="D16" s="364" t="s">
        <v>784</v>
      </c>
      <c r="E16" s="367">
        <f>NPV(C2,F15:J15)</f>
        <v>378064.96148877422</v>
      </c>
      <c r="F16" s="367"/>
      <c r="G16" s="367"/>
      <c r="H16" s="367"/>
      <c r="I16" s="367"/>
      <c r="J16" s="367"/>
    </row>
    <row r="17" spans="4:10" x14ac:dyDescent="0.25">
      <c r="D17" s="364" t="s">
        <v>785</v>
      </c>
      <c r="E17" s="368">
        <f>'Data Source Table'!H315</f>
        <v>4261.5150000000003</v>
      </c>
      <c r="F17" s="367"/>
      <c r="G17" s="367"/>
      <c r="H17" s="367"/>
      <c r="I17" s="367"/>
      <c r="J17" s="367"/>
    </row>
    <row r="18" spans="4:10" ht="15.75" thickBot="1" x14ac:dyDescent="0.3">
      <c r="D18" s="365" t="s">
        <v>786</v>
      </c>
      <c r="E18" s="367">
        <f>E16/E17</f>
        <v>88.716093100405416</v>
      </c>
      <c r="F18" s="367"/>
      <c r="G18" s="367"/>
      <c r="H18" s="367"/>
      <c r="I18" s="367"/>
      <c r="J18" s="367"/>
    </row>
    <row r="19" spans="4:10" x14ac:dyDescent="0.25">
      <c r="D19" s="362" t="s">
        <v>787</v>
      </c>
      <c r="E19" s="367"/>
      <c r="F19" s="367"/>
      <c r="G19" s="367"/>
      <c r="H19" s="367"/>
      <c r="I19" s="367"/>
      <c r="J19" s="367"/>
    </row>
    <row r="20" spans="4:10" x14ac:dyDescent="0.25">
      <c r="D20" s="363" t="s">
        <v>788</v>
      </c>
      <c r="E20" s="367"/>
      <c r="F20" s="367">
        <f>'The Model'!F156*(1-'Assumption Table'!$Q$34)</f>
        <v>497.06404239542553</v>
      </c>
      <c r="G20" s="367">
        <f>'The Model'!G156*(1-'Assumption Table'!$Q$34)</f>
        <v>521.91724451519678</v>
      </c>
      <c r="H20" s="367">
        <f>'The Model'!H156*(1-'Assumption Table'!$Q$34)</f>
        <v>548.01310674095669</v>
      </c>
      <c r="I20" s="367">
        <f>'The Model'!I156*(1-'Assumption Table'!$Q$34)</f>
        <v>575.41376207800442</v>
      </c>
      <c r="J20" s="367">
        <f>'The Model'!J156*(1-'Assumption Table'!$Q$34)</f>
        <v>604.18445018190471</v>
      </c>
    </row>
    <row r="21" spans="4:10" x14ac:dyDescent="0.25">
      <c r="D21" s="60"/>
      <c r="E21" s="367"/>
      <c r="F21" s="367"/>
      <c r="G21" s="367"/>
      <c r="H21" s="367"/>
      <c r="I21" s="367"/>
      <c r="J21" s="367"/>
    </row>
    <row r="22" spans="4:10" x14ac:dyDescent="0.25">
      <c r="D22" s="362" t="s">
        <v>789</v>
      </c>
      <c r="E22" s="367"/>
      <c r="F22" s="367">
        <f>SUM(F8:F11)+F20</f>
        <v>7650.0844175627553</v>
      </c>
      <c r="G22" s="367">
        <f t="shared" ref="G22:J22" si="3">SUM(G8:G11)+G20</f>
        <v>13966.332100815614</v>
      </c>
      <c r="H22" s="367">
        <f t="shared" si="3"/>
        <v>19806.896980446985</v>
      </c>
      <c r="I22" s="367">
        <f t="shared" si="3"/>
        <v>31308.127255520234</v>
      </c>
      <c r="J22" s="367">
        <f t="shared" si="3"/>
        <v>57578.215549025022</v>
      </c>
    </row>
    <row r="23" spans="4:10" x14ac:dyDescent="0.25">
      <c r="D23" s="366" t="s">
        <v>790</v>
      </c>
      <c r="E23" s="367"/>
      <c r="F23" s="367"/>
      <c r="G23" s="367"/>
      <c r="H23" s="367"/>
      <c r="I23" s="367"/>
      <c r="J23" s="367">
        <f>((J22*(1+C5))/(C4-C5))</f>
        <v>598383.72693559341</v>
      </c>
    </row>
    <row r="24" spans="4:10" ht="15.75" thickBot="1" x14ac:dyDescent="0.3">
      <c r="D24" s="5" t="s">
        <v>787</v>
      </c>
      <c r="E24" s="367"/>
      <c r="F24" s="367">
        <f>SUM(F21:F23)</f>
        <v>7650.0844175627553</v>
      </c>
      <c r="G24" s="367">
        <f t="shared" ref="G24:J24" si="4">SUM(G21:G23)</f>
        <v>13966.332100815614</v>
      </c>
      <c r="H24" s="367">
        <f t="shared" si="4"/>
        <v>19806.896980446985</v>
      </c>
      <c r="I24" s="367">
        <f t="shared" si="4"/>
        <v>31308.127255520234</v>
      </c>
      <c r="J24" s="367">
        <f t="shared" si="4"/>
        <v>655961.9424846184</v>
      </c>
    </row>
    <row r="25" spans="4:10" x14ac:dyDescent="0.25">
      <c r="D25" s="468" t="s">
        <v>791</v>
      </c>
      <c r="E25" s="367">
        <f>NPV(C4,F24:J24)</f>
        <v>389933.07578549313</v>
      </c>
      <c r="F25" s="367"/>
      <c r="G25" s="367"/>
      <c r="H25" s="367"/>
      <c r="I25" s="367"/>
      <c r="J25" s="367"/>
    </row>
    <row r="26" spans="4:10" x14ac:dyDescent="0.25">
      <c r="D26" s="469" t="s">
        <v>792</v>
      </c>
      <c r="E26" s="367">
        <f>'Data Source Table'!H406+'Data Source Table'!H407+'Data Source Table'!H401</f>
        <v>17083.538</v>
      </c>
      <c r="F26" s="367"/>
      <c r="G26" s="367"/>
      <c r="H26" s="367"/>
      <c r="I26" s="367"/>
      <c r="J26" s="367"/>
    </row>
    <row r="27" spans="4:10" x14ac:dyDescent="0.25">
      <c r="D27" s="469" t="s">
        <v>784</v>
      </c>
      <c r="E27" s="367">
        <f>E25-E26</f>
        <v>372849.53778549313</v>
      </c>
      <c r="F27" s="367"/>
      <c r="G27" s="367"/>
      <c r="H27" s="367"/>
      <c r="I27" s="367"/>
      <c r="J27" s="367"/>
    </row>
    <row r="28" spans="4:10" x14ac:dyDescent="0.25">
      <c r="D28" s="469" t="s">
        <v>793</v>
      </c>
      <c r="E28" s="369">
        <f>E17</f>
        <v>4261.5150000000003</v>
      </c>
    </row>
    <row r="29" spans="4:10" ht="15.75" thickBot="1" x14ac:dyDescent="0.3">
      <c r="D29" s="470" t="s">
        <v>794</v>
      </c>
      <c r="E29" s="367">
        <f>E27/E28</f>
        <v>87.492250475592158</v>
      </c>
    </row>
    <row r="31" spans="4:10" ht="15.75" x14ac:dyDescent="0.25">
      <c r="H31" s="457" t="s">
        <v>795</v>
      </c>
    </row>
    <row r="33" spans="5:10" ht="15.75" thickBot="1" x14ac:dyDescent="0.3">
      <c r="E33" s="370">
        <f>E29</f>
        <v>87.492250475592158</v>
      </c>
      <c r="F33" s="371">
        <f>G33-1%</f>
        <v>1.9999999999999997E-2</v>
      </c>
      <c r="G33" s="372">
        <f>H33-1%</f>
        <v>0.03</v>
      </c>
      <c r="H33" s="371">
        <v>0.04</v>
      </c>
      <c r="I33" s="371">
        <f>H33+1%</f>
        <v>0.05</v>
      </c>
      <c r="J33" s="371">
        <f>I33+1%</f>
        <v>6.0000000000000005E-2</v>
      </c>
    </row>
    <row r="34" spans="5:10" x14ac:dyDescent="0.25">
      <c r="E34" s="373">
        <f>E35+2%</f>
        <v>0.18007181257693411</v>
      </c>
      <c r="F34" s="374">
        <f t="dataTable" ref="F34:J38" dt2D="1" dtr="1" r1="C5" r2="C4"/>
        <v>50.008284201867191</v>
      </c>
      <c r="G34" s="375">
        <v>52.908607702890549</v>
      </c>
      <c r="H34" s="375">
        <v>56.223050711281644</v>
      </c>
      <c r="I34" s="375">
        <v>60.047126505243519</v>
      </c>
      <c r="J34" s="462">
        <v>64.508167080845823</v>
      </c>
    </row>
    <row r="35" spans="5:10" x14ac:dyDescent="0.25">
      <c r="E35" s="373">
        <f>E36+2%</f>
        <v>0.16007181257693412</v>
      </c>
      <c r="F35" s="376">
        <v>60.26792565153977</v>
      </c>
      <c r="G35" s="370">
        <v>64.362612948263305</v>
      </c>
      <c r="H35" s="370">
        <v>69.139339969189379</v>
      </c>
      <c r="I35" s="370">
        <v>74.783996191805912</v>
      </c>
      <c r="J35" s="463">
        <v>81.55677352610455</v>
      </c>
    </row>
    <row r="36" spans="5:10" x14ac:dyDescent="0.25">
      <c r="E36" s="377">
        <v>0.14007181257693413</v>
      </c>
      <c r="F36" s="376">
        <v>74.180274971185355</v>
      </c>
      <c r="G36" s="370">
        <v>80.231567697807051</v>
      </c>
      <c r="H36" s="464">
        <v>87.492250475592158</v>
      </c>
      <c r="I36" s="370">
        <v>96.365131913548197</v>
      </c>
      <c r="J36" s="463">
        <v>107.45424429530382</v>
      </c>
    </row>
    <row r="37" spans="5:10" x14ac:dyDescent="0.25">
      <c r="E37" s="373">
        <f>E36-2%</f>
        <v>0.12007181257693413</v>
      </c>
      <c r="F37" s="376">
        <v>93.964175476191812</v>
      </c>
      <c r="G37" s="370">
        <v>103.48797048547193</v>
      </c>
      <c r="H37" s="370">
        <v>115.3905788880743</v>
      </c>
      <c r="I37" s="370">
        <v>130.6904473200313</v>
      </c>
      <c r="J37" s="463">
        <v>151.08417517644389</v>
      </c>
    </row>
    <row r="38" spans="5:10" ht="15.75" thickBot="1" x14ac:dyDescent="0.3">
      <c r="E38" s="373">
        <f>E37-2%</f>
        <v>0.10007181257693412</v>
      </c>
      <c r="F38" s="465">
        <v>124.05980579388375</v>
      </c>
      <c r="G38" s="466">
        <v>140.50303161650768</v>
      </c>
      <c r="H38" s="466">
        <v>162.42078038666719</v>
      </c>
      <c r="I38" s="466">
        <v>193.09305496372983</v>
      </c>
      <c r="J38" s="467">
        <v>239.07398298299691</v>
      </c>
    </row>
  </sheetData>
  <pageMargins left="0.7" right="0.7" top="0.75" bottom="0.75" header="0.3" footer="0.3"/>
  <pageSetup scale="61" fitToHeight="0" orientation="landscape" r:id="rId1"/>
  <headerFooter>
    <oddHeader>&amp;CDCF Valuation</oddHeader>
    <oddFooter xml:space="preserve">&amp;LPrepared by: Tolulope Oluwabunmi
&amp;CFor Portfolio &amp; Educational Purposes Only
&amp;R&amp;D | Page &amp;P of &amp;N
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L82"/>
  <sheetViews>
    <sheetView showGridLines="0" topLeftCell="B7" zoomScale="88" workbookViewId="0">
      <selection activeCell="G23" sqref="G23"/>
    </sheetView>
  </sheetViews>
  <sheetFormatPr defaultColWidth="8.85546875" defaultRowHeight="15" x14ac:dyDescent="0.25"/>
  <cols>
    <col min="1" max="1" width="53" customWidth="1"/>
    <col min="2" max="2" width="20.7109375" customWidth="1"/>
    <col min="3" max="4" width="18.85546875" customWidth="1"/>
    <col min="5" max="5" width="18.28515625" customWidth="1"/>
    <col min="6" max="6" width="22.85546875" customWidth="1"/>
    <col min="7" max="7" width="26.85546875" customWidth="1"/>
    <col min="8" max="8" width="20.7109375" customWidth="1"/>
    <col min="9" max="9" width="22" customWidth="1"/>
    <col min="10" max="10" width="10.7109375" bestFit="1" customWidth="1"/>
  </cols>
  <sheetData>
    <row r="1" spans="1:6" ht="15.75" x14ac:dyDescent="0.25">
      <c r="A1" s="149" t="s">
        <v>477</v>
      </c>
      <c r="B1" s="149"/>
      <c r="C1" s="149"/>
      <c r="D1" s="149"/>
    </row>
    <row r="2" spans="1:6" ht="31.5" x14ac:dyDescent="0.25">
      <c r="A2" s="186" t="s">
        <v>435</v>
      </c>
      <c r="B2" s="186" t="s">
        <v>436</v>
      </c>
      <c r="C2" s="150" t="s">
        <v>437</v>
      </c>
      <c r="D2" s="150" t="s">
        <v>438</v>
      </c>
      <c r="E2" s="101" t="s">
        <v>745</v>
      </c>
      <c r="F2" s="101" t="s">
        <v>746</v>
      </c>
    </row>
    <row r="3" spans="1:6" ht="15.75" x14ac:dyDescent="0.25">
      <c r="A3" s="182" t="s">
        <v>443</v>
      </c>
      <c r="B3" s="182" t="s">
        <v>444</v>
      </c>
      <c r="C3" s="187">
        <v>519</v>
      </c>
      <c r="D3" s="188" t="s">
        <v>445</v>
      </c>
      <c r="E3" s="101">
        <f>C3/$C$19</f>
        <v>3.0461142967819186E-2</v>
      </c>
      <c r="F3" s="101">
        <f>E3*D3</f>
        <v>9.1383428903457555E-4</v>
      </c>
    </row>
    <row r="4" spans="1:6" ht="15.75" x14ac:dyDescent="0.25">
      <c r="A4" s="182" t="s">
        <v>448</v>
      </c>
      <c r="B4" s="182" t="s">
        <v>444</v>
      </c>
      <c r="C4" s="187">
        <v>500</v>
      </c>
      <c r="D4" s="188" t="s">
        <v>449</v>
      </c>
      <c r="E4" s="101">
        <f t="shared" ref="E4:E17" si="0">C4/$C$19</f>
        <v>2.9345995152041605E-2</v>
      </c>
      <c r="F4" s="101">
        <f t="shared" ref="F4:F17" si="1">E4*D4</f>
        <v>1.0637923242615081E-3</v>
      </c>
    </row>
    <row r="5" spans="1:6" ht="15.75" x14ac:dyDescent="0.25">
      <c r="A5" s="182" t="s">
        <v>448</v>
      </c>
      <c r="B5" s="182" t="s">
        <v>444</v>
      </c>
      <c r="C5" s="187">
        <v>1434</v>
      </c>
      <c r="D5" s="188" t="s">
        <v>449</v>
      </c>
      <c r="E5" s="101">
        <f t="shared" si="0"/>
        <v>8.416431409605532E-2</v>
      </c>
      <c r="F5" s="101">
        <f t="shared" si="1"/>
        <v>3.0509563859820051E-3</v>
      </c>
    </row>
    <row r="6" spans="1:6" ht="15.75" x14ac:dyDescent="0.25">
      <c r="A6" s="182" t="s">
        <v>448</v>
      </c>
      <c r="B6" s="182" t="s">
        <v>444</v>
      </c>
      <c r="C6" s="187">
        <v>1215</v>
      </c>
      <c r="D6" s="188" t="s">
        <v>449</v>
      </c>
      <c r="E6" s="101">
        <f t="shared" si="0"/>
        <v>7.1310768219461099E-2</v>
      </c>
      <c r="F6" s="101">
        <f t="shared" si="1"/>
        <v>2.5850153479554648E-3</v>
      </c>
    </row>
    <row r="7" spans="1:6" ht="15.75" x14ac:dyDescent="0.25">
      <c r="A7" s="182" t="s">
        <v>450</v>
      </c>
      <c r="B7" s="182" t="s">
        <v>444</v>
      </c>
      <c r="C7" s="187">
        <v>1325</v>
      </c>
      <c r="D7" s="188" t="s">
        <v>451</v>
      </c>
      <c r="E7" s="101">
        <f t="shared" si="0"/>
        <v>7.7766887152910247E-2</v>
      </c>
      <c r="F7" s="101">
        <f t="shared" si="1"/>
        <v>3.0134668771752719E-3</v>
      </c>
    </row>
    <row r="8" spans="1:6" ht="15.75" x14ac:dyDescent="0.25">
      <c r="A8" s="182" t="s">
        <v>452</v>
      </c>
      <c r="B8" s="182" t="s">
        <v>444</v>
      </c>
      <c r="C8" s="187">
        <v>1000</v>
      </c>
      <c r="D8" s="188" t="s">
        <v>453</v>
      </c>
      <c r="E8" s="101">
        <f t="shared" si="0"/>
        <v>5.8691990304083209E-2</v>
      </c>
      <c r="F8" s="101">
        <f t="shared" si="1"/>
        <v>2.5677745758036401E-3</v>
      </c>
    </row>
    <row r="9" spans="1:6" ht="15.75" x14ac:dyDescent="0.25">
      <c r="A9" s="182" t="s">
        <v>454</v>
      </c>
      <c r="B9" s="182" t="s">
        <v>444</v>
      </c>
      <c r="C9" s="187">
        <v>1215</v>
      </c>
      <c r="D9" s="188" t="s">
        <v>455</v>
      </c>
      <c r="E9" s="101">
        <f t="shared" si="0"/>
        <v>7.1310768219461099E-2</v>
      </c>
      <c r="F9" s="101">
        <f t="shared" si="1"/>
        <v>3.2981230301500756E-3</v>
      </c>
    </row>
    <row r="10" spans="1:6" ht="15.75" x14ac:dyDescent="0.25">
      <c r="A10" s="182" t="s">
        <v>456</v>
      </c>
      <c r="B10" s="182" t="s">
        <v>444</v>
      </c>
      <c r="C10" s="187">
        <v>1600</v>
      </c>
      <c r="D10" s="188" t="s">
        <v>457</v>
      </c>
      <c r="E10" s="101">
        <f t="shared" si="0"/>
        <v>9.3907184486533124E-2</v>
      </c>
      <c r="F10" s="101">
        <f t="shared" si="1"/>
        <v>4.5779752437184896E-3</v>
      </c>
    </row>
    <row r="11" spans="1:6" ht="15.75" x14ac:dyDescent="0.25">
      <c r="A11" s="182" t="s">
        <v>456</v>
      </c>
      <c r="B11" s="182" t="s">
        <v>444</v>
      </c>
      <c r="C11" s="187">
        <v>1000</v>
      </c>
      <c r="D11" s="188" t="s">
        <v>457</v>
      </c>
      <c r="E11" s="101">
        <f t="shared" si="0"/>
        <v>5.8691990304083209E-2</v>
      </c>
      <c r="F11" s="101">
        <f t="shared" si="1"/>
        <v>2.8612345273240566E-3</v>
      </c>
    </row>
    <row r="12" spans="1:6" ht="15.75" x14ac:dyDescent="0.25">
      <c r="A12" s="182" t="s">
        <v>460</v>
      </c>
      <c r="B12" s="182" t="s">
        <v>444</v>
      </c>
      <c r="C12" s="187">
        <v>900</v>
      </c>
      <c r="D12" s="188" t="s">
        <v>461</v>
      </c>
      <c r="E12" s="101">
        <f t="shared" si="0"/>
        <v>5.2822791273674889E-2</v>
      </c>
      <c r="F12" s="101">
        <f t="shared" si="1"/>
        <v>2.8392250309600253E-3</v>
      </c>
    </row>
    <row r="13" spans="1:6" ht="15.75" x14ac:dyDescent="0.25">
      <c r="A13" s="182" t="s">
        <v>464</v>
      </c>
      <c r="B13" s="182" t="s">
        <v>444</v>
      </c>
      <c r="C13" s="187">
        <v>400</v>
      </c>
      <c r="D13" s="188" t="s">
        <v>465</v>
      </c>
      <c r="E13" s="101">
        <f t="shared" si="0"/>
        <v>2.3476796121633281E-2</v>
      </c>
      <c r="F13" s="101">
        <f t="shared" si="1"/>
        <v>1.3499157769939138E-3</v>
      </c>
    </row>
    <row r="14" spans="1:6" ht="15.75" x14ac:dyDescent="0.25">
      <c r="A14" s="182" t="s">
        <v>466</v>
      </c>
      <c r="B14" s="182" t="s">
        <v>444</v>
      </c>
      <c r="C14" s="187">
        <v>800</v>
      </c>
      <c r="D14" s="188" t="s">
        <v>467</v>
      </c>
      <c r="E14" s="101">
        <f t="shared" si="0"/>
        <v>4.6953592243266562E-2</v>
      </c>
      <c r="F14" s="101">
        <f t="shared" si="1"/>
        <v>2.7585235442919103E-3</v>
      </c>
    </row>
    <row r="15" spans="1:6" ht="15.75" x14ac:dyDescent="0.25">
      <c r="A15" s="182" t="s">
        <v>466</v>
      </c>
      <c r="B15" s="182" t="s">
        <v>444</v>
      </c>
      <c r="C15" s="187">
        <v>1900</v>
      </c>
      <c r="D15" s="188" t="s">
        <v>467</v>
      </c>
      <c r="E15" s="101">
        <f t="shared" si="0"/>
        <v>0.1115147815777581</v>
      </c>
      <c r="F15" s="101">
        <f t="shared" si="1"/>
        <v>6.5514934176932882E-3</v>
      </c>
    </row>
    <row r="16" spans="1:6" ht="15.75" x14ac:dyDescent="0.25">
      <c r="A16" s="182" t="s">
        <v>468</v>
      </c>
      <c r="B16" s="182" t="s">
        <v>444</v>
      </c>
      <c r="C16" s="187">
        <v>800</v>
      </c>
      <c r="D16" s="188" t="s">
        <v>469</v>
      </c>
      <c r="E16" s="101">
        <f t="shared" si="0"/>
        <v>4.6953592243266562E-2</v>
      </c>
      <c r="F16" s="101">
        <f t="shared" si="1"/>
        <v>2.9932915055082433E-3</v>
      </c>
    </row>
    <row r="17" spans="1:12" ht="15.75" x14ac:dyDescent="0.25">
      <c r="A17" s="182" t="s">
        <v>470</v>
      </c>
      <c r="B17" s="182" t="s">
        <v>471</v>
      </c>
      <c r="C17" s="187">
        <v>2430.1</v>
      </c>
      <c r="D17" s="188" t="s">
        <v>472</v>
      </c>
      <c r="E17" s="101">
        <f t="shared" si="0"/>
        <v>0.14262740563795259</v>
      </c>
      <c r="F17" s="101">
        <f t="shared" si="1"/>
        <v>4.991959197328341E-3</v>
      </c>
    </row>
    <row r="18" spans="1:12" ht="15.75" x14ac:dyDescent="0.25">
      <c r="A18" s="182" t="s">
        <v>474</v>
      </c>
      <c r="B18" s="182" t="s">
        <v>475</v>
      </c>
      <c r="C18" s="188" t="s">
        <v>62</v>
      </c>
      <c r="D18" s="188" t="s">
        <v>209</v>
      </c>
      <c r="E18" s="101"/>
      <c r="F18" s="101"/>
    </row>
    <row r="19" spans="1:12" ht="15.75" x14ac:dyDescent="0.25">
      <c r="A19" s="240"/>
      <c r="B19" s="240"/>
      <c r="C19" s="242">
        <f>SUM(C3:C17)</f>
        <v>17038.099999999999</v>
      </c>
      <c r="D19" s="241"/>
      <c r="E19" s="244" t="s">
        <v>747</v>
      </c>
      <c r="F19" s="243">
        <f>SUM(F3:F17)</f>
        <v>4.5416581074180805E-2</v>
      </c>
    </row>
    <row r="21" spans="1:12" ht="15.75" x14ac:dyDescent="0.25">
      <c r="G21" s="346" t="s">
        <v>748</v>
      </c>
      <c r="H21" s="287" t="s">
        <v>749</v>
      </c>
      <c r="I21" s="288" t="s">
        <v>750</v>
      </c>
      <c r="J21" s="288" t="s">
        <v>751</v>
      </c>
      <c r="K21" s="289"/>
      <c r="L21" s="347"/>
    </row>
    <row r="22" spans="1:12" ht="15.75" x14ac:dyDescent="0.25">
      <c r="B22" s="229" t="s">
        <v>752</v>
      </c>
      <c r="C22" s="230" t="s">
        <v>630</v>
      </c>
      <c r="D22" s="230" t="s">
        <v>753</v>
      </c>
      <c r="E22" s="230" t="s">
        <v>754</v>
      </c>
      <c r="F22" s="230" t="s">
        <v>755</v>
      </c>
      <c r="G22" s="264"/>
      <c r="H22" s="101"/>
      <c r="I22" s="101"/>
      <c r="J22" s="101"/>
      <c r="K22" s="101"/>
      <c r="L22" s="76"/>
    </row>
    <row r="23" spans="1:12" ht="15.75" x14ac:dyDescent="0.25">
      <c r="B23" s="233">
        <v>44197</v>
      </c>
      <c r="C23" s="234">
        <v>53.238999999999997</v>
      </c>
      <c r="D23" s="235">
        <v>3714.24</v>
      </c>
      <c r="E23" s="101"/>
      <c r="F23" s="101"/>
      <c r="G23" s="266">
        <f>SLOPE(E24:E82,F24:F82)</f>
        <v>1.8444864768138947</v>
      </c>
      <c r="H23" s="267">
        <v>4.7500000000000001E-2</v>
      </c>
      <c r="I23" s="267">
        <v>5.2499999999999998E-2</v>
      </c>
      <c r="J23" s="268">
        <f>H23+(G23*I23)</f>
        <v>0.14433554003272947</v>
      </c>
      <c r="K23" s="101"/>
      <c r="L23" s="76"/>
    </row>
    <row r="24" spans="1:12" ht="15.75" x14ac:dyDescent="0.25">
      <c r="B24" s="233">
        <v>44228</v>
      </c>
      <c r="C24" s="234">
        <v>53.884999999999998</v>
      </c>
      <c r="D24" s="235">
        <v>3811.15</v>
      </c>
      <c r="E24" s="101">
        <f t="shared" ref="E24:E55" si="2">LN(C24/C23)</f>
        <v>1.2060935568307009E-2</v>
      </c>
      <c r="F24" s="101">
        <f t="shared" ref="F24:F55" si="3">LN(D24/D23)</f>
        <v>2.5756899667125591E-2</v>
      </c>
      <c r="G24" s="264"/>
      <c r="H24" s="101" t="s">
        <v>756</v>
      </c>
      <c r="I24" s="101" t="s">
        <v>757</v>
      </c>
      <c r="J24" s="269"/>
      <c r="K24" s="101"/>
      <c r="L24" s="76"/>
    </row>
    <row r="25" spans="1:12" ht="15.75" x14ac:dyDescent="0.25">
      <c r="B25" s="233">
        <v>44256</v>
      </c>
      <c r="C25" s="234">
        <v>52.165999999999997</v>
      </c>
      <c r="D25" s="235">
        <v>3972.89</v>
      </c>
      <c r="E25" s="101">
        <f t="shared" si="2"/>
        <v>-3.2421204371071682E-2</v>
      </c>
      <c r="F25" s="101">
        <f t="shared" si="3"/>
        <v>4.1562808697442971E-2</v>
      </c>
      <c r="G25" s="106"/>
      <c r="H25" s="102"/>
      <c r="I25" s="102"/>
      <c r="J25" s="102"/>
      <c r="K25" s="102"/>
      <c r="L25" s="265"/>
    </row>
    <row r="26" spans="1:12" ht="15.75" x14ac:dyDescent="0.25">
      <c r="B26" s="233">
        <v>44287</v>
      </c>
      <c r="C26" s="234">
        <v>51.347000000000001</v>
      </c>
      <c r="D26" s="235">
        <v>4181.17</v>
      </c>
      <c r="E26" s="101">
        <f t="shared" si="2"/>
        <v>-1.5824429599890149E-2</v>
      </c>
      <c r="F26" s="101">
        <f t="shared" si="3"/>
        <v>5.1097322114293922E-2</v>
      </c>
    </row>
    <row r="27" spans="1:12" ht="15.75" x14ac:dyDescent="0.25">
      <c r="B27" s="233">
        <v>44317</v>
      </c>
      <c r="C27" s="234">
        <v>50.280999999999999</v>
      </c>
      <c r="D27" s="235">
        <v>4204.1099999999997</v>
      </c>
      <c r="E27" s="101">
        <f t="shared" si="2"/>
        <v>-2.0979239929855266E-2</v>
      </c>
      <c r="F27" s="101">
        <f t="shared" si="3"/>
        <v>5.4715065520221503E-3</v>
      </c>
      <c r="G27" s="101"/>
      <c r="H27" s="101"/>
      <c r="I27" s="101"/>
      <c r="J27" s="101"/>
      <c r="K27" s="101"/>
      <c r="L27" s="101"/>
    </row>
    <row r="28" spans="1:12" ht="15.75" x14ac:dyDescent="0.25">
      <c r="B28" s="233">
        <v>44348</v>
      </c>
      <c r="C28" s="234">
        <v>52.820999999999998</v>
      </c>
      <c r="D28" s="235">
        <v>4297.5</v>
      </c>
      <c r="E28" s="101">
        <f t="shared" si="2"/>
        <v>4.9281566764438962E-2</v>
      </c>
      <c r="F28" s="101">
        <f t="shared" si="3"/>
        <v>2.1970840045862021E-2</v>
      </c>
      <c r="G28" s="101"/>
      <c r="H28" s="101"/>
      <c r="I28" s="101"/>
      <c r="J28" s="101"/>
      <c r="K28" s="101"/>
      <c r="L28" s="101"/>
    </row>
    <row r="29" spans="1:12" ht="15.75" x14ac:dyDescent="0.25">
      <c r="B29" s="233">
        <v>44378</v>
      </c>
      <c r="C29" s="234">
        <v>51.756999999999998</v>
      </c>
      <c r="D29" s="235">
        <v>4395.26</v>
      </c>
      <c r="E29" s="101">
        <f t="shared" si="2"/>
        <v>-2.0349150214035217E-2</v>
      </c>
      <c r="F29" s="101">
        <f t="shared" si="3"/>
        <v>2.249322924674322E-2</v>
      </c>
      <c r="G29" s="346" t="s">
        <v>758</v>
      </c>
      <c r="H29" s="290" t="s">
        <v>759</v>
      </c>
      <c r="I29" s="290"/>
      <c r="J29" s="288" t="s">
        <v>760</v>
      </c>
      <c r="K29" s="289"/>
      <c r="L29" s="347"/>
    </row>
    <row r="30" spans="1:12" ht="15.75" x14ac:dyDescent="0.25">
      <c r="B30" s="233">
        <v>44409</v>
      </c>
      <c r="C30" s="234">
        <v>56.918999999999997</v>
      </c>
      <c r="D30" s="235">
        <v>4522.68</v>
      </c>
      <c r="E30" s="101">
        <f t="shared" si="2"/>
        <v>9.5069515851724615E-2</v>
      </c>
      <c r="F30" s="101">
        <f t="shared" si="3"/>
        <v>2.857805096868915E-2</v>
      </c>
      <c r="G30" s="260"/>
      <c r="H30" s="238"/>
      <c r="I30" s="238"/>
      <c r="J30" s="238"/>
      <c r="K30" s="101"/>
      <c r="L30" s="76"/>
    </row>
    <row r="31" spans="1:12" ht="15.75" x14ac:dyDescent="0.25">
      <c r="B31" s="233">
        <v>44440</v>
      </c>
      <c r="C31" s="234">
        <v>61.033999999999999</v>
      </c>
      <c r="D31" s="235">
        <v>4307.54</v>
      </c>
      <c r="E31" s="101">
        <f t="shared" si="2"/>
        <v>6.9801881395493717E-2</v>
      </c>
      <c r="F31" s="101">
        <f t="shared" si="3"/>
        <v>-4.8737762984622721E-2</v>
      </c>
      <c r="G31" s="261">
        <f>'Data Source Table'!B1109</f>
        <v>424749.291601</v>
      </c>
      <c r="H31" s="262">
        <f>'Data Source Table'!B1111</f>
        <v>17083.538</v>
      </c>
      <c r="I31" s="262"/>
      <c r="J31" s="262">
        <f>G31+H31</f>
        <v>441832.829601</v>
      </c>
      <c r="K31" s="262"/>
      <c r="L31" s="263"/>
    </row>
    <row r="32" spans="1:12" ht="15.75" x14ac:dyDescent="0.25">
      <c r="B32" s="233">
        <v>44470</v>
      </c>
      <c r="C32" s="234">
        <v>69.031000000000006</v>
      </c>
      <c r="D32" s="235">
        <v>4605.38</v>
      </c>
      <c r="E32" s="101">
        <f t="shared" si="2"/>
        <v>0.12312459312002116</v>
      </c>
      <c r="F32" s="101">
        <f t="shared" si="3"/>
        <v>6.6858209798173654E-2</v>
      </c>
      <c r="G32" s="106"/>
      <c r="H32" s="102"/>
      <c r="I32" s="102"/>
      <c r="J32" s="102"/>
      <c r="K32" s="102"/>
      <c r="L32" s="265"/>
    </row>
    <row r="33" spans="2:12" ht="15.75" x14ac:dyDescent="0.25">
      <c r="B33" s="233">
        <v>44501</v>
      </c>
      <c r="C33" s="234">
        <v>64.19</v>
      </c>
      <c r="D33" s="235">
        <v>4567</v>
      </c>
      <c r="E33" s="101">
        <f t="shared" si="2"/>
        <v>-7.2708243741934228E-2</v>
      </c>
      <c r="F33" s="101">
        <f t="shared" si="3"/>
        <v>-8.3686511009886007E-3</v>
      </c>
      <c r="G33" s="101"/>
      <c r="H33" s="101"/>
      <c r="I33" s="101"/>
      <c r="J33" s="101"/>
      <c r="K33" s="101"/>
      <c r="L33" s="101"/>
    </row>
    <row r="34" spans="2:12" ht="15.75" x14ac:dyDescent="0.25">
      <c r="B34" s="233">
        <v>44531</v>
      </c>
      <c r="C34" s="234">
        <v>60.244</v>
      </c>
      <c r="D34" s="235">
        <v>4766.18</v>
      </c>
      <c r="E34" s="101">
        <f t="shared" si="2"/>
        <v>-6.3444452974084534E-2</v>
      </c>
      <c r="F34" s="101">
        <f t="shared" si="3"/>
        <v>4.2688611280446646E-2</v>
      </c>
      <c r="G34" s="101"/>
      <c r="H34" s="101"/>
      <c r="I34" s="101"/>
      <c r="J34" s="101"/>
      <c r="K34" s="101"/>
      <c r="L34" s="101"/>
    </row>
    <row r="35" spans="2:12" ht="15.75" x14ac:dyDescent="0.25">
      <c r="B35" s="233">
        <v>44562</v>
      </c>
      <c r="C35" s="234">
        <v>42.713999999999999</v>
      </c>
      <c r="D35" s="235">
        <v>4515.55</v>
      </c>
      <c r="E35" s="101">
        <f t="shared" si="2"/>
        <v>-0.34387624699981106</v>
      </c>
      <c r="F35" s="101">
        <f t="shared" si="3"/>
        <v>-5.401814986501885E-2</v>
      </c>
      <c r="G35" s="101"/>
      <c r="H35" s="101"/>
      <c r="I35" s="101"/>
      <c r="J35" s="101"/>
      <c r="K35" s="101"/>
      <c r="L35" s="101"/>
    </row>
    <row r="36" spans="2:12" ht="15.75" x14ac:dyDescent="0.25">
      <c r="B36" s="233">
        <v>44593</v>
      </c>
      <c r="C36" s="234">
        <v>39.451999999999998</v>
      </c>
      <c r="D36" s="235">
        <v>4373.9399999999996</v>
      </c>
      <c r="E36" s="101">
        <f t="shared" si="2"/>
        <v>-7.9441992258044131E-2</v>
      </c>
      <c r="F36" s="101">
        <f t="shared" si="3"/>
        <v>-3.1862790878923103E-2</v>
      </c>
      <c r="G36" s="101"/>
      <c r="H36" s="101"/>
      <c r="I36" s="101"/>
      <c r="J36" s="101"/>
      <c r="K36" s="101"/>
      <c r="L36" s="101"/>
    </row>
    <row r="37" spans="2:12" ht="15.75" x14ac:dyDescent="0.25">
      <c r="B37" s="233">
        <v>44621</v>
      </c>
      <c r="C37" s="234">
        <v>37.459000000000003</v>
      </c>
      <c r="D37" s="235">
        <v>4530.41</v>
      </c>
      <c r="E37" s="101">
        <f t="shared" si="2"/>
        <v>-5.1837741573610333E-2</v>
      </c>
      <c r="F37" s="101">
        <f t="shared" si="3"/>
        <v>3.5148238386268404E-2</v>
      </c>
      <c r="G37" s="101"/>
      <c r="H37" s="101"/>
      <c r="I37" s="101"/>
      <c r="J37" s="101"/>
      <c r="K37" s="101"/>
      <c r="L37" s="101"/>
    </row>
    <row r="38" spans="2:12" ht="15.75" x14ac:dyDescent="0.25">
      <c r="B38" s="233">
        <v>44652</v>
      </c>
      <c r="C38" s="234">
        <v>19.036000000000001</v>
      </c>
      <c r="D38" s="235">
        <v>4131.93</v>
      </c>
      <c r="E38" s="101">
        <f t="shared" si="2"/>
        <v>-0.67691507825927255</v>
      </c>
      <c r="F38" s="101">
        <f t="shared" si="3"/>
        <v>-9.2067832960435178E-2</v>
      </c>
      <c r="G38" s="101"/>
      <c r="H38" s="101"/>
      <c r="I38" s="101"/>
      <c r="J38" s="101"/>
      <c r="K38" s="101"/>
      <c r="L38" s="101"/>
    </row>
    <row r="39" spans="2:12" ht="15.75" x14ac:dyDescent="0.25">
      <c r="B39" s="233">
        <v>44682</v>
      </c>
      <c r="C39" s="234">
        <v>19.744</v>
      </c>
      <c r="D39" s="235">
        <v>4132.1499999999996</v>
      </c>
      <c r="E39" s="101">
        <f t="shared" si="2"/>
        <v>3.6517724464113117E-2</v>
      </c>
      <c r="F39" s="101">
        <f t="shared" si="3"/>
        <v>5.3242466203463356E-5</v>
      </c>
      <c r="G39" s="101"/>
      <c r="H39" s="101"/>
      <c r="I39" s="101"/>
      <c r="J39" s="101"/>
      <c r="K39" s="101"/>
      <c r="L39" s="101"/>
    </row>
    <row r="40" spans="2:12" ht="15.75" x14ac:dyDescent="0.25">
      <c r="B40" s="233">
        <v>44713</v>
      </c>
      <c r="C40" s="234">
        <v>17.486999999999998</v>
      </c>
      <c r="D40" s="235">
        <v>3785.38</v>
      </c>
      <c r="E40" s="101">
        <f t="shared" si="2"/>
        <v>-0.12139189999145501</v>
      </c>
      <c r="F40" s="101">
        <f t="shared" si="3"/>
        <v>-8.7651574480173397E-2</v>
      </c>
      <c r="G40" s="101"/>
      <c r="H40" s="101"/>
      <c r="I40" s="101"/>
      <c r="J40" s="101"/>
      <c r="K40" s="101"/>
      <c r="L40" s="101"/>
    </row>
    <row r="41" spans="2:12" ht="15.75" x14ac:dyDescent="0.25">
      <c r="B41" s="233">
        <v>44743</v>
      </c>
      <c r="C41" s="234">
        <v>22.49</v>
      </c>
      <c r="D41" s="235">
        <v>4130.29</v>
      </c>
      <c r="E41" s="101">
        <f t="shared" si="2"/>
        <v>0.25161301823970189</v>
      </c>
      <c r="F41" s="101">
        <f t="shared" si="3"/>
        <v>8.7201344274224588E-2</v>
      </c>
      <c r="G41" s="101"/>
      <c r="H41" s="101"/>
      <c r="I41" s="101"/>
      <c r="J41" s="101"/>
      <c r="K41" s="101"/>
      <c r="L41" s="101"/>
    </row>
    <row r="42" spans="2:12" ht="15.75" x14ac:dyDescent="0.25">
      <c r="B42" s="233">
        <v>44774</v>
      </c>
      <c r="C42" s="234">
        <v>22.356000000000002</v>
      </c>
      <c r="D42" s="235">
        <v>3955</v>
      </c>
      <c r="E42" s="101">
        <f t="shared" si="2"/>
        <v>-5.9760245637724904E-3</v>
      </c>
      <c r="F42" s="101">
        <f t="shared" si="3"/>
        <v>-4.3367021205837172E-2</v>
      </c>
      <c r="G42" s="101"/>
      <c r="H42" s="101"/>
      <c r="I42" s="101"/>
      <c r="J42" s="101"/>
      <c r="K42" s="101"/>
      <c r="L42" s="101"/>
    </row>
    <row r="43" spans="2:12" ht="15.75" x14ac:dyDescent="0.25">
      <c r="B43" s="233">
        <v>44805</v>
      </c>
      <c r="C43" s="234">
        <v>23.544</v>
      </c>
      <c r="D43" s="235">
        <v>3585.62</v>
      </c>
      <c r="E43" s="101">
        <f t="shared" si="2"/>
        <v>5.1776269523719949E-2</v>
      </c>
      <c r="F43" s="101">
        <f t="shared" si="3"/>
        <v>-9.8049199303624351E-2</v>
      </c>
      <c r="G43" s="101"/>
      <c r="H43" s="101"/>
      <c r="I43" s="101"/>
      <c r="J43" s="101"/>
      <c r="K43" s="101"/>
      <c r="L43" s="101"/>
    </row>
    <row r="44" spans="2:12" ht="15.75" x14ac:dyDescent="0.25">
      <c r="B44" s="233">
        <v>44835</v>
      </c>
      <c r="C44" s="234">
        <v>29.187999999999999</v>
      </c>
      <c r="D44" s="235">
        <v>3871.98</v>
      </c>
      <c r="E44" s="101">
        <f t="shared" si="2"/>
        <v>0.21488665497220194</v>
      </c>
      <c r="F44" s="101">
        <f t="shared" si="3"/>
        <v>7.6834602195741328E-2</v>
      </c>
      <c r="G44" s="101"/>
      <c r="H44" s="101"/>
      <c r="I44" s="101"/>
      <c r="J44" s="101"/>
      <c r="K44" s="101"/>
      <c r="L44" s="101"/>
    </row>
    <row r="45" spans="2:12" ht="15.75" x14ac:dyDescent="0.25">
      <c r="B45" s="233">
        <v>44866</v>
      </c>
      <c r="C45" s="234">
        <v>30.553000000000001</v>
      </c>
      <c r="D45" s="235">
        <v>4080.11</v>
      </c>
      <c r="E45" s="101">
        <f t="shared" si="2"/>
        <v>4.5705214565626151E-2</v>
      </c>
      <c r="F45" s="101">
        <f t="shared" si="3"/>
        <v>5.2357944725214406E-2</v>
      </c>
      <c r="G45" s="101"/>
      <c r="H45" s="101"/>
      <c r="I45" s="101"/>
      <c r="J45" s="101"/>
      <c r="K45" s="101"/>
      <c r="L45" s="101"/>
    </row>
    <row r="46" spans="2:12" ht="15.75" x14ac:dyDescent="0.25">
      <c r="B46" s="233">
        <v>44896</v>
      </c>
      <c r="C46" s="234">
        <v>29.488</v>
      </c>
      <c r="D46" s="235">
        <v>3839.5</v>
      </c>
      <c r="E46" s="101">
        <f t="shared" si="2"/>
        <v>-3.547947954153241E-2</v>
      </c>
      <c r="F46" s="101">
        <f t="shared" si="3"/>
        <v>-6.0781799048487496E-2</v>
      </c>
      <c r="G46" s="101"/>
      <c r="H46" s="101"/>
      <c r="I46" s="101"/>
      <c r="J46" s="101"/>
      <c r="K46" s="101"/>
      <c r="L46" s="101"/>
    </row>
    <row r="47" spans="2:12" ht="15.75" x14ac:dyDescent="0.25">
      <c r="B47" s="233">
        <v>44927</v>
      </c>
      <c r="C47" s="234">
        <v>35.386000000000003</v>
      </c>
      <c r="D47" s="235">
        <v>4076.6</v>
      </c>
      <c r="E47" s="101">
        <f t="shared" si="2"/>
        <v>0.18233286076334373</v>
      </c>
      <c r="F47" s="101">
        <f t="shared" si="3"/>
        <v>5.9921157879031649E-2</v>
      </c>
      <c r="G47" s="101"/>
      <c r="H47" s="101"/>
      <c r="I47" s="101"/>
      <c r="J47" s="101"/>
      <c r="K47" s="101"/>
      <c r="L47" s="101"/>
    </row>
    <row r="48" spans="2:12" ht="15.75" x14ac:dyDescent="0.25">
      <c r="B48" s="233">
        <v>44958</v>
      </c>
      <c r="C48" s="234">
        <v>32.213000000000001</v>
      </c>
      <c r="D48" s="235">
        <v>3970.15</v>
      </c>
      <c r="E48" s="101">
        <f t="shared" si="2"/>
        <v>-9.394616390807288E-2</v>
      </c>
      <c r="F48" s="101">
        <f t="shared" si="3"/>
        <v>-2.645943030685264E-2</v>
      </c>
      <c r="G48" s="101"/>
      <c r="H48" s="101"/>
      <c r="I48" s="101"/>
      <c r="J48" s="101"/>
      <c r="K48" s="101"/>
      <c r="L48" s="101"/>
    </row>
    <row r="49" spans="2:12" ht="15.75" x14ac:dyDescent="0.25">
      <c r="B49" s="233">
        <v>44986</v>
      </c>
      <c r="C49" s="234">
        <v>34.548000000000002</v>
      </c>
      <c r="D49" s="235">
        <v>4109.3100000000004</v>
      </c>
      <c r="E49" s="101">
        <f t="shared" si="2"/>
        <v>6.9979563635300959E-2</v>
      </c>
      <c r="F49" s="101">
        <f t="shared" si="3"/>
        <v>3.4451253841860437E-2</v>
      </c>
      <c r="G49" s="101"/>
      <c r="H49" s="101"/>
      <c r="I49" s="101"/>
      <c r="J49" s="101"/>
      <c r="K49" s="101"/>
      <c r="L49" s="101"/>
    </row>
    <row r="50" spans="2:12" ht="15.75" x14ac:dyDescent="0.25">
      <c r="B50" s="233">
        <v>45017</v>
      </c>
      <c r="C50" s="234">
        <v>32.993000000000002</v>
      </c>
      <c r="D50" s="235">
        <v>4169.4799999999996</v>
      </c>
      <c r="E50" s="101">
        <f t="shared" si="2"/>
        <v>-4.6054243664566355E-2</v>
      </c>
      <c r="F50" s="101">
        <f t="shared" si="3"/>
        <v>1.4536196592679839E-2</v>
      </c>
      <c r="G50" s="101"/>
      <c r="H50" s="101"/>
      <c r="I50" s="101"/>
      <c r="J50" s="101"/>
      <c r="K50" s="101"/>
      <c r="L50" s="101"/>
    </row>
    <row r="51" spans="2:12" ht="15.75" x14ac:dyDescent="0.25">
      <c r="B51" s="233">
        <v>45047</v>
      </c>
      <c r="C51" s="234">
        <v>39.523000000000003</v>
      </c>
      <c r="D51" s="235">
        <v>4179.83</v>
      </c>
      <c r="E51" s="101">
        <f t="shared" si="2"/>
        <v>0.18058736317627955</v>
      </c>
      <c r="F51" s="101">
        <f t="shared" si="3"/>
        <v>2.4792480579840541E-3</v>
      </c>
      <c r="G51" s="101"/>
      <c r="H51" s="101"/>
      <c r="I51" s="101"/>
      <c r="J51" s="101"/>
      <c r="K51" s="101"/>
      <c r="L51" s="101"/>
    </row>
    <row r="52" spans="2:12" ht="15.75" x14ac:dyDescent="0.25">
      <c r="B52" s="233">
        <v>45078</v>
      </c>
      <c r="C52" s="234">
        <v>44.048999999999999</v>
      </c>
      <c r="D52" s="235">
        <v>4450.38</v>
      </c>
      <c r="E52" s="101">
        <f t="shared" si="2"/>
        <v>0.10841986971915787</v>
      </c>
      <c r="F52" s="101">
        <f t="shared" si="3"/>
        <v>6.2718909937614448E-2</v>
      </c>
      <c r="G52" s="101"/>
      <c r="H52" s="101"/>
      <c r="I52" s="101"/>
      <c r="J52" s="101"/>
      <c r="K52" s="101"/>
      <c r="L52" s="101"/>
    </row>
    <row r="53" spans="2:12" ht="15.75" x14ac:dyDescent="0.25">
      <c r="B53" s="233">
        <v>45108</v>
      </c>
      <c r="C53" s="234">
        <v>43.896999999999998</v>
      </c>
      <c r="D53" s="235">
        <v>4588.96</v>
      </c>
      <c r="E53" s="101">
        <f t="shared" si="2"/>
        <v>-3.4566700327131649E-3</v>
      </c>
      <c r="F53" s="101">
        <f t="shared" si="3"/>
        <v>3.0663933087959953E-2</v>
      </c>
      <c r="G53" s="101"/>
      <c r="H53" s="101"/>
      <c r="I53" s="101"/>
      <c r="J53" s="101"/>
      <c r="K53" s="101"/>
      <c r="L53" s="101"/>
    </row>
    <row r="54" spans="2:12" ht="15.75" x14ac:dyDescent="0.25">
      <c r="B54" s="233">
        <v>45139</v>
      </c>
      <c r="C54" s="234">
        <v>43.368000000000002</v>
      </c>
      <c r="D54" s="235">
        <v>4507.66</v>
      </c>
      <c r="E54" s="101">
        <f t="shared" si="2"/>
        <v>-1.2124138658159939E-2</v>
      </c>
      <c r="F54" s="101">
        <f t="shared" si="3"/>
        <v>-1.787524701848843E-2</v>
      </c>
      <c r="G54" s="101"/>
      <c r="H54" s="101"/>
      <c r="I54" s="101"/>
      <c r="J54" s="101"/>
      <c r="K54" s="101"/>
      <c r="L54" s="101"/>
    </row>
    <row r="55" spans="2:12" ht="15.75" x14ac:dyDescent="0.25">
      <c r="B55" s="233">
        <v>45170</v>
      </c>
      <c r="C55" s="234">
        <v>37.76</v>
      </c>
      <c r="D55" s="235">
        <v>4288.05</v>
      </c>
      <c r="E55" s="101">
        <f t="shared" si="2"/>
        <v>-0.13847150068073724</v>
      </c>
      <c r="F55" s="101">
        <f t="shared" si="3"/>
        <v>-4.9946087711970913E-2</v>
      </c>
      <c r="G55" s="101"/>
      <c r="H55" s="101"/>
      <c r="I55" s="101"/>
      <c r="J55" s="101"/>
      <c r="K55" s="101"/>
      <c r="L55" s="101"/>
    </row>
    <row r="56" spans="2:12" ht="15.75" x14ac:dyDescent="0.25">
      <c r="B56" s="233">
        <v>45200</v>
      </c>
      <c r="C56" s="234">
        <v>41.168999999999997</v>
      </c>
      <c r="D56" s="235">
        <v>4193.8</v>
      </c>
      <c r="E56" s="101">
        <f t="shared" ref="E56:E82" si="4">LN(C56/C55)</f>
        <v>8.6435204678305885E-2</v>
      </c>
      <c r="F56" s="101">
        <f t="shared" ref="F56:F82" si="5">LN(D56/D55)</f>
        <v>-2.2224839977771419E-2</v>
      </c>
      <c r="G56" s="101"/>
      <c r="H56" s="101"/>
      <c r="I56" s="101"/>
      <c r="J56" s="101"/>
      <c r="K56" s="101"/>
      <c r="L56" s="101"/>
    </row>
    <row r="57" spans="2:12" ht="15.75" x14ac:dyDescent="0.25">
      <c r="B57" s="233">
        <v>45231</v>
      </c>
      <c r="C57" s="234">
        <v>47.396999999999998</v>
      </c>
      <c r="D57" s="235">
        <v>4567.8</v>
      </c>
      <c r="E57" s="101">
        <f t="shared" si="4"/>
        <v>0.1408733896032158</v>
      </c>
      <c r="F57" s="101">
        <f t="shared" si="5"/>
        <v>8.5424444387576737E-2</v>
      </c>
      <c r="G57" s="101"/>
      <c r="H57" s="101"/>
      <c r="I57" s="101"/>
      <c r="J57" s="101"/>
      <c r="K57" s="101"/>
      <c r="L57" s="101"/>
    </row>
    <row r="58" spans="2:12" ht="15.75" x14ac:dyDescent="0.25">
      <c r="B58" s="233">
        <v>45261</v>
      </c>
      <c r="C58" s="234">
        <v>48.688000000000002</v>
      </c>
      <c r="D58" s="235">
        <v>4769.83</v>
      </c>
      <c r="E58" s="101">
        <f t="shared" si="4"/>
        <v>2.6873657595793632E-2</v>
      </c>
      <c r="F58" s="101">
        <f t="shared" si="5"/>
        <v>4.3278976294068072E-2</v>
      </c>
      <c r="G58" s="101"/>
      <c r="H58" s="101"/>
      <c r="I58" s="101"/>
      <c r="J58" s="101"/>
      <c r="K58" s="101"/>
      <c r="L58" s="101"/>
    </row>
    <row r="59" spans="2:12" ht="15.75" x14ac:dyDescent="0.25">
      <c r="B59" s="233">
        <v>45292</v>
      </c>
      <c r="C59" s="234">
        <v>56.411000000000001</v>
      </c>
      <c r="D59" s="235">
        <v>4845.6499999999996</v>
      </c>
      <c r="E59" s="101">
        <f t="shared" si="4"/>
        <v>0.14723158179344792</v>
      </c>
      <c r="F59" s="101">
        <f t="shared" si="5"/>
        <v>1.5770730418801029E-2</v>
      </c>
      <c r="G59" s="101"/>
      <c r="H59" s="101"/>
      <c r="I59" s="101"/>
      <c r="J59" s="101"/>
      <c r="K59" s="101"/>
      <c r="L59" s="101"/>
    </row>
    <row r="60" spans="2:12" ht="15.75" x14ac:dyDescent="0.25">
      <c r="B60" s="233">
        <v>45323</v>
      </c>
      <c r="C60" s="234">
        <v>60.292000000000002</v>
      </c>
      <c r="D60" s="235">
        <v>5096.2700000000004</v>
      </c>
      <c r="E60" s="101">
        <f t="shared" si="4"/>
        <v>6.6535250000219565E-2</v>
      </c>
      <c r="F60" s="101">
        <f t="shared" si="5"/>
        <v>5.0427504326927088E-2</v>
      </c>
      <c r="G60" s="101"/>
      <c r="H60" s="101"/>
      <c r="I60" s="101"/>
      <c r="J60" s="101"/>
      <c r="K60" s="101"/>
      <c r="L60" s="101"/>
    </row>
    <row r="61" spans="2:12" ht="15.75" x14ac:dyDescent="0.25">
      <c r="B61" s="233">
        <v>45352</v>
      </c>
      <c r="C61" s="234">
        <v>60.732999999999997</v>
      </c>
      <c r="D61" s="235">
        <v>5254.35</v>
      </c>
      <c r="E61" s="101">
        <f t="shared" si="4"/>
        <v>7.2877827201995888E-3</v>
      </c>
      <c r="F61" s="101">
        <f t="shared" si="5"/>
        <v>3.0547405358412088E-2</v>
      </c>
      <c r="G61" s="101"/>
      <c r="H61" s="101"/>
      <c r="I61" s="101"/>
      <c r="J61" s="101"/>
      <c r="K61" s="101"/>
      <c r="L61" s="101"/>
    </row>
    <row r="62" spans="2:12" ht="15.75" x14ac:dyDescent="0.25">
      <c r="B62" s="233">
        <v>45383</v>
      </c>
      <c r="C62" s="234">
        <v>55.064</v>
      </c>
      <c r="D62" s="235">
        <v>5035.6899999999996</v>
      </c>
      <c r="E62" s="101">
        <f t="shared" si="4"/>
        <v>-9.7991062572419296E-2</v>
      </c>
      <c r="F62" s="101">
        <f t="shared" si="5"/>
        <v>-4.250574745999363E-2</v>
      </c>
      <c r="G62" s="101"/>
      <c r="H62" s="101"/>
      <c r="I62" s="101"/>
      <c r="J62" s="101"/>
      <c r="K62" s="101"/>
      <c r="L62" s="101"/>
    </row>
    <row r="63" spans="2:12" ht="15.75" x14ac:dyDescent="0.25">
      <c r="B63" s="233">
        <v>45413</v>
      </c>
      <c r="C63" s="234">
        <v>64.162000000000006</v>
      </c>
      <c r="D63" s="235">
        <v>5277.51</v>
      </c>
      <c r="E63" s="101">
        <f t="shared" si="4"/>
        <v>0.15291499004618256</v>
      </c>
      <c r="F63" s="101">
        <f t="shared" si="5"/>
        <v>4.6903838078814306E-2</v>
      </c>
      <c r="G63" s="101"/>
      <c r="H63" s="101"/>
      <c r="I63" s="101"/>
      <c r="J63" s="101"/>
      <c r="K63" s="101"/>
      <c r="L63" s="101"/>
    </row>
    <row r="64" spans="2:12" ht="15.75" x14ac:dyDescent="0.25">
      <c r="B64" s="233">
        <v>45444</v>
      </c>
      <c r="C64" s="234">
        <v>67.488</v>
      </c>
      <c r="D64" s="235">
        <v>5460.48</v>
      </c>
      <c r="E64" s="101">
        <f t="shared" si="4"/>
        <v>5.0538669154118289E-2</v>
      </c>
      <c r="F64" s="101">
        <f t="shared" si="5"/>
        <v>3.408230240557078E-2</v>
      </c>
      <c r="G64" s="101"/>
      <c r="H64" s="101"/>
      <c r="I64" s="101"/>
      <c r="J64" s="101"/>
      <c r="K64" s="101"/>
      <c r="L64" s="101"/>
    </row>
    <row r="65" spans="2:12" ht="15.75" x14ac:dyDescent="0.25">
      <c r="B65" s="233">
        <v>45474</v>
      </c>
      <c r="C65" s="234">
        <v>62.835000000000001</v>
      </c>
      <c r="D65" s="235">
        <v>5522.3</v>
      </c>
      <c r="E65" s="101">
        <f t="shared" si="4"/>
        <v>-7.1437561229256222E-2</v>
      </c>
      <c r="F65" s="101">
        <f t="shared" si="5"/>
        <v>1.1257742193535576E-2</v>
      </c>
      <c r="G65" s="101"/>
      <c r="H65" s="101"/>
      <c r="I65" s="101"/>
      <c r="J65" s="101"/>
      <c r="K65" s="101"/>
      <c r="L65" s="101"/>
    </row>
    <row r="66" spans="2:12" ht="15.75" x14ac:dyDescent="0.25">
      <c r="B66" s="233">
        <v>45505</v>
      </c>
      <c r="C66" s="234">
        <v>70.135000000000005</v>
      </c>
      <c r="D66" s="235">
        <v>5648.4</v>
      </c>
      <c r="E66" s="101">
        <f t="shared" si="4"/>
        <v>0.10990971310452687</v>
      </c>
      <c r="F66" s="101">
        <f t="shared" si="5"/>
        <v>2.2577879038739614E-2</v>
      </c>
      <c r="G66" s="101"/>
      <c r="H66" s="101"/>
      <c r="I66" s="101"/>
      <c r="J66" s="101"/>
      <c r="K66" s="101"/>
      <c r="L66" s="101"/>
    </row>
    <row r="67" spans="2:12" ht="15.75" x14ac:dyDescent="0.25">
      <c r="B67" s="233">
        <v>45536</v>
      </c>
      <c r="C67" s="234">
        <v>70.927000000000007</v>
      </c>
      <c r="D67" s="235">
        <v>5762.48</v>
      </c>
      <c r="E67" s="101">
        <f t="shared" si="4"/>
        <v>1.1229222927252454E-2</v>
      </c>
      <c r="F67" s="101">
        <f t="shared" si="5"/>
        <v>1.9995618387948909E-2</v>
      </c>
      <c r="G67" s="101"/>
      <c r="H67" s="101"/>
      <c r="I67" s="101"/>
      <c r="J67" s="101"/>
      <c r="K67" s="101"/>
      <c r="L67" s="101"/>
    </row>
    <row r="68" spans="2:12" ht="15.75" x14ac:dyDescent="0.25">
      <c r="B68" s="233">
        <v>45566</v>
      </c>
      <c r="C68" s="234">
        <v>75.602999999999994</v>
      </c>
      <c r="D68" s="235">
        <v>5705.45</v>
      </c>
      <c r="E68" s="101">
        <f t="shared" si="4"/>
        <v>6.3844785838951229E-2</v>
      </c>
      <c r="F68" s="101">
        <f t="shared" si="5"/>
        <v>-9.9460792205519691E-3</v>
      </c>
      <c r="G68" s="101"/>
      <c r="H68" s="101"/>
      <c r="I68" s="101"/>
      <c r="J68" s="101"/>
      <c r="K68" s="101"/>
      <c r="L68" s="101"/>
    </row>
    <row r="69" spans="2:12" ht="15.75" x14ac:dyDescent="0.25">
      <c r="B69" s="233">
        <v>45597</v>
      </c>
      <c r="C69" s="234">
        <v>88.680999999999997</v>
      </c>
      <c r="D69" s="235">
        <v>6032.38</v>
      </c>
      <c r="E69" s="101">
        <f t="shared" si="4"/>
        <v>0.15954969624646731</v>
      </c>
      <c r="F69" s="101">
        <f t="shared" si="5"/>
        <v>5.5719767688528744E-2</v>
      </c>
      <c r="G69" s="101"/>
      <c r="H69" s="101"/>
      <c r="I69" s="101"/>
      <c r="J69" s="101"/>
      <c r="K69" s="101"/>
      <c r="L69" s="101"/>
    </row>
    <row r="70" spans="2:12" ht="15.75" x14ac:dyDescent="0.25">
      <c r="B70" s="233">
        <v>45627</v>
      </c>
      <c r="C70" s="234">
        <v>89.132000000000005</v>
      </c>
      <c r="D70" s="235">
        <v>5881.63</v>
      </c>
      <c r="E70" s="101">
        <f t="shared" si="4"/>
        <v>5.0727558404158575E-3</v>
      </c>
      <c r="F70" s="101">
        <f t="shared" si="5"/>
        <v>-2.5307691689834075E-2</v>
      </c>
      <c r="G70" s="101"/>
      <c r="H70" s="101"/>
      <c r="I70" s="101"/>
      <c r="J70" s="101"/>
      <c r="K70" s="101"/>
      <c r="L70" s="101"/>
    </row>
    <row r="71" spans="2:12" ht="15.75" x14ac:dyDescent="0.25">
      <c r="B71" s="233">
        <v>45658</v>
      </c>
      <c r="C71" s="234">
        <v>97.676000000000002</v>
      </c>
      <c r="D71" s="235">
        <v>6040.53</v>
      </c>
      <c r="E71" s="101">
        <f t="shared" si="4"/>
        <v>9.1537461898301628E-2</v>
      </c>
      <c r="F71" s="101">
        <f t="shared" si="5"/>
        <v>2.6657822062382253E-2</v>
      </c>
      <c r="G71" s="101"/>
      <c r="H71" s="101"/>
      <c r="I71" s="101"/>
      <c r="J71" s="101"/>
      <c r="K71" s="101"/>
      <c r="L71" s="101"/>
    </row>
    <row r="72" spans="2:12" ht="15.75" x14ac:dyDescent="0.25">
      <c r="B72" s="233">
        <v>45689</v>
      </c>
      <c r="C72" s="234">
        <v>98.055999999999997</v>
      </c>
      <c r="D72" s="235">
        <v>5954.5</v>
      </c>
      <c r="E72" s="101">
        <f t="shared" si="4"/>
        <v>3.8828651158406896E-3</v>
      </c>
      <c r="F72" s="101">
        <f t="shared" si="5"/>
        <v>-1.4344520215520212E-2</v>
      </c>
      <c r="G72" s="101"/>
      <c r="H72" s="101"/>
      <c r="I72" s="101"/>
      <c r="J72" s="101"/>
      <c r="K72" s="101"/>
      <c r="L72" s="101"/>
    </row>
    <row r="73" spans="2:12" ht="15.75" x14ac:dyDescent="0.25">
      <c r="B73" s="233">
        <v>45717</v>
      </c>
      <c r="C73" s="234">
        <v>93.253</v>
      </c>
      <c r="D73" s="235">
        <v>5611.85</v>
      </c>
      <c r="E73" s="101">
        <f t="shared" si="4"/>
        <v>-5.0222514450663856E-2</v>
      </c>
      <c r="F73" s="101">
        <f t="shared" si="5"/>
        <v>-5.9266802781969163E-2</v>
      </c>
      <c r="G73" s="101"/>
      <c r="H73" s="101"/>
      <c r="I73" s="101"/>
      <c r="J73" s="101"/>
      <c r="K73" s="101"/>
      <c r="L73" s="101"/>
    </row>
    <row r="74" spans="2:12" ht="15.75" x14ac:dyDescent="0.25">
      <c r="B74" s="233">
        <v>45748</v>
      </c>
      <c r="C74" s="234">
        <v>113.172</v>
      </c>
      <c r="D74" s="235">
        <v>5569.06</v>
      </c>
      <c r="E74" s="101">
        <f t="shared" si="4"/>
        <v>0.19359255576154796</v>
      </c>
      <c r="F74" s="101">
        <f t="shared" si="5"/>
        <v>-7.6541549673546042E-3</v>
      </c>
      <c r="G74" s="101"/>
      <c r="H74" s="101"/>
      <c r="I74" s="101"/>
      <c r="J74" s="101"/>
      <c r="K74" s="101"/>
      <c r="L74" s="101"/>
    </row>
    <row r="75" spans="2:12" ht="15.75" x14ac:dyDescent="0.25">
      <c r="B75" s="233">
        <v>45778</v>
      </c>
      <c r="C75" s="234">
        <v>120.723</v>
      </c>
      <c r="D75" s="235">
        <v>5911.69</v>
      </c>
      <c r="E75" s="101">
        <f t="shared" si="4"/>
        <v>6.4589879695699168E-2</v>
      </c>
      <c r="F75" s="101">
        <f t="shared" si="5"/>
        <v>5.9705468070558924E-2</v>
      </c>
      <c r="G75" s="101"/>
      <c r="H75" s="101"/>
      <c r="I75" s="101"/>
      <c r="J75" s="101"/>
      <c r="K75" s="101"/>
      <c r="L75" s="101"/>
    </row>
    <row r="76" spans="2:12" ht="15.75" x14ac:dyDescent="0.25">
      <c r="B76" s="233">
        <v>45809</v>
      </c>
      <c r="C76" s="234">
        <v>133.91300000000001</v>
      </c>
      <c r="D76" s="235">
        <v>6204.95</v>
      </c>
      <c r="E76" s="101">
        <f t="shared" si="4"/>
        <v>0.10369167031764577</v>
      </c>
      <c r="F76" s="101">
        <f t="shared" si="5"/>
        <v>4.8415614059228305E-2</v>
      </c>
      <c r="G76" s="101"/>
      <c r="H76" s="101"/>
      <c r="I76" s="101"/>
      <c r="J76" s="101"/>
      <c r="K76" s="101"/>
      <c r="L76" s="101"/>
    </row>
    <row r="77" spans="2:12" ht="15.75" x14ac:dyDescent="0.25">
      <c r="B77" s="233">
        <v>45839</v>
      </c>
      <c r="C77" s="234">
        <v>115.94</v>
      </c>
      <c r="D77" s="235">
        <v>6339.39</v>
      </c>
      <c r="E77" s="101">
        <f t="shared" si="4"/>
        <v>-0.1441175194515063</v>
      </c>
      <c r="F77" s="101">
        <f t="shared" si="5"/>
        <v>2.1435188702803743E-2</v>
      </c>
      <c r="G77" s="101"/>
      <c r="H77" s="101"/>
      <c r="I77" s="101"/>
      <c r="J77" s="101"/>
      <c r="K77" s="101"/>
      <c r="L77" s="101"/>
    </row>
    <row r="78" spans="2:12" ht="15.75" x14ac:dyDescent="0.25">
      <c r="B78" s="233">
        <v>45870</v>
      </c>
      <c r="C78" s="234">
        <v>120.825</v>
      </c>
      <c r="D78" s="235">
        <v>6460.26</v>
      </c>
      <c r="E78" s="101">
        <f t="shared" si="4"/>
        <v>4.1270401819561042E-2</v>
      </c>
      <c r="F78" s="101">
        <f t="shared" si="5"/>
        <v>1.8887015353432401E-2</v>
      </c>
      <c r="G78" s="101"/>
      <c r="H78" s="101"/>
      <c r="I78" s="101"/>
      <c r="J78" s="101"/>
      <c r="K78" s="101"/>
      <c r="L78" s="101"/>
    </row>
    <row r="79" spans="2:12" ht="15.75" x14ac:dyDescent="0.25">
      <c r="B79" s="233">
        <v>45901</v>
      </c>
      <c r="C79" s="234">
        <v>119.892</v>
      </c>
      <c r="D79" s="235">
        <v>6688.46</v>
      </c>
      <c r="E79" s="101">
        <f t="shared" si="4"/>
        <v>-7.7518801922659862E-3</v>
      </c>
      <c r="F79" s="101">
        <f t="shared" si="5"/>
        <v>3.4714088658864529E-2</v>
      </c>
      <c r="G79" s="101"/>
      <c r="H79" s="101"/>
      <c r="I79" s="101"/>
      <c r="J79" s="101"/>
      <c r="K79" s="101"/>
      <c r="L79" s="101"/>
    </row>
    <row r="80" spans="2:12" ht="15.75" x14ac:dyDescent="0.25">
      <c r="B80" s="233">
        <v>45931</v>
      </c>
      <c r="C80" s="234">
        <v>111.886</v>
      </c>
      <c r="D80" s="235">
        <v>6840.2</v>
      </c>
      <c r="E80" s="101">
        <f t="shared" si="4"/>
        <v>-6.911084175500587E-2</v>
      </c>
      <c r="F80" s="101">
        <f t="shared" si="5"/>
        <v>2.2433317651589665E-2</v>
      </c>
      <c r="G80" s="101"/>
      <c r="H80" s="101"/>
      <c r="I80" s="101"/>
      <c r="J80" s="101"/>
      <c r="K80" s="101"/>
      <c r="L80" s="101"/>
    </row>
    <row r="81" spans="2:12" ht="15.75" x14ac:dyDescent="0.25">
      <c r="B81" s="233">
        <v>45962</v>
      </c>
      <c r="C81" s="234">
        <v>107.58</v>
      </c>
      <c r="D81" s="235">
        <v>6849.09</v>
      </c>
      <c r="E81" s="101">
        <f t="shared" si="4"/>
        <v>-3.9245738938779376E-2</v>
      </c>
      <c r="F81" s="101">
        <f t="shared" si="5"/>
        <v>1.2988257608315961E-3</v>
      </c>
      <c r="G81" s="101"/>
      <c r="H81" s="101"/>
      <c r="I81" s="101"/>
      <c r="J81" s="101"/>
      <c r="K81" s="101"/>
      <c r="L81" s="101"/>
    </row>
    <row r="82" spans="2:12" ht="15.75" x14ac:dyDescent="0.25">
      <c r="B82" s="233">
        <v>45992</v>
      </c>
      <c r="C82" s="234">
        <v>100.24</v>
      </c>
      <c r="D82" s="235">
        <v>6870.4</v>
      </c>
      <c r="E82" s="101">
        <f t="shared" si="4"/>
        <v>-7.0667446257283745E-2</v>
      </c>
      <c r="F82" s="101">
        <f t="shared" si="5"/>
        <v>3.1065319684257043E-3</v>
      </c>
      <c r="G82" s="101"/>
      <c r="H82" s="101"/>
      <c r="I82" s="101"/>
      <c r="J82" s="101"/>
      <c r="K82" s="101"/>
      <c r="L82" s="101"/>
    </row>
  </sheetData>
  <pageMargins left="0.7" right="0.7" top="0.75" bottom="0.75" header="0.3" footer="0.3"/>
  <pageSetup scale="92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2:IU1189"/>
  <sheetViews>
    <sheetView showGridLines="0" zoomScale="74" zoomScaleNormal="100" workbookViewId="0">
      <selection activeCell="A315" sqref="A315"/>
    </sheetView>
  </sheetViews>
  <sheetFormatPr defaultColWidth="8.85546875" defaultRowHeight="15.75" x14ac:dyDescent="0.25"/>
  <cols>
    <col min="1" max="1" width="87" style="101" customWidth="1"/>
    <col min="2" max="2" width="25.85546875" style="101" customWidth="1"/>
    <col min="3" max="6" width="18.7109375" style="101" bestFit="1" customWidth="1"/>
    <col min="7" max="7" width="28.7109375" style="101" customWidth="1"/>
    <col min="8" max="8" width="32" style="101" customWidth="1"/>
    <col min="9" max="9" width="16.42578125" style="101" customWidth="1"/>
    <col min="10" max="10" width="14" style="101" customWidth="1"/>
    <col min="11" max="11" width="18.85546875" style="101" customWidth="1"/>
    <col min="12" max="12" width="16" style="101" customWidth="1"/>
    <col min="13" max="13" width="18" style="101" customWidth="1"/>
    <col min="14" max="14" width="8.85546875" style="101"/>
    <col min="15" max="15" width="13.7109375" style="101" customWidth="1"/>
    <col min="16" max="16384" width="8.85546875" style="101"/>
  </cols>
  <sheetData>
    <row r="32" ht="15" customHeight="1" x14ac:dyDescent="0.25"/>
    <row r="73" spans="1:15" ht="19.5" customHeight="1" x14ac:dyDescent="0.25"/>
    <row r="76" spans="1:15" x14ac:dyDescent="0.25">
      <c r="A76" s="125" t="s">
        <v>27</v>
      </c>
      <c r="B76" s="126"/>
    </row>
    <row r="77" spans="1:15" x14ac:dyDescent="0.25">
      <c r="A77" s="126" t="s">
        <v>28</v>
      </c>
      <c r="B77" s="126">
        <v>2019</v>
      </c>
      <c r="C77" s="127">
        <f>B77+1</f>
        <v>2020</v>
      </c>
      <c r="D77" s="127">
        <f>C77+1</f>
        <v>2021</v>
      </c>
      <c r="E77" s="127">
        <f>D77+1</f>
        <v>2022</v>
      </c>
      <c r="F77" s="127">
        <f>E77+1</f>
        <v>2023</v>
      </c>
      <c r="G77" s="127">
        <f>F77+1</f>
        <v>2024</v>
      </c>
      <c r="I77" s="126">
        <v>2020</v>
      </c>
      <c r="J77" s="126">
        <f>I77+1</f>
        <v>2021</v>
      </c>
      <c r="K77" s="126">
        <f>J77+1</f>
        <v>2022</v>
      </c>
      <c r="L77" s="126">
        <f>K77+1</f>
        <v>2023</v>
      </c>
      <c r="M77" s="126">
        <f>L77+1</f>
        <v>2024</v>
      </c>
      <c r="N77" s="126"/>
      <c r="O77" s="126" t="s">
        <v>29</v>
      </c>
    </row>
    <row r="78" spans="1:15" x14ac:dyDescent="0.25">
      <c r="A78" s="126" t="s">
        <v>30</v>
      </c>
      <c r="B78" s="128">
        <v>10051208</v>
      </c>
      <c r="C78" s="128">
        <v>11455396</v>
      </c>
      <c r="D78" s="128">
        <v>12972100</v>
      </c>
      <c r="E78" s="128">
        <v>14084643</v>
      </c>
      <c r="F78" s="128">
        <v>14873783</v>
      </c>
      <c r="G78" s="128">
        <v>17359369</v>
      </c>
      <c r="I78" s="129">
        <f t="shared" ref="I78:M84" si="0">(C78-B78)/B78</f>
        <v>0.13970340679448678</v>
      </c>
      <c r="J78" s="129">
        <f t="shared" si="0"/>
        <v>0.13240083537923961</v>
      </c>
      <c r="K78" s="129">
        <f t="shared" si="0"/>
        <v>8.5764294138959765E-2</v>
      </c>
      <c r="L78" s="129">
        <f t="shared" si="0"/>
        <v>5.6028399157862931E-2</v>
      </c>
      <c r="M78" s="129">
        <f t="shared" si="0"/>
        <v>0.16711189076780264</v>
      </c>
      <c r="O78" s="129">
        <f>AVERAGE(I78:M78)</f>
        <v>0.11620176524767034</v>
      </c>
    </row>
    <row r="79" spans="1:15" x14ac:dyDescent="0.25">
      <c r="A79" s="126" t="s">
        <v>31</v>
      </c>
      <c r="B79" s="128">
        <v>5543067</v>
      </c>
      <c r="C79" s="128">
        <v>7772252</v>
      </c>
      <c r="D79" s="128">
        <v>9699819</v>
      </c>
      <c r="E79" s="128">
        <v>9745015</v>
      </c>
      <c r="F79" s="128">
        <v>10556487</v>
      </c>
      <c r="G79" s="128">
        <v>12387035</v>
      </c>
      <c r="I79" s="129">
        <f t="shared" si="0"/>
        <v>0.40215732553837075</v>
      </c>
      <c r="J79" s="129">
        <f t="shared" si="0"/>
        <v>0.24800624066229454</v>
      </c>
      <c r="K79" s="129">
        <f t="shared" si="0"/>
        <v>4.6594683880183743E-3</v>
      </c>
      <c r="L79" s="129">
        <f t="shared" si="0"/>
        <v>8.3270472133701173E-2</v>
      </c>
      <c r="M79" s="129">
        <f t="shared" si="0"/>
        <v>0.1734050352167345</v>
      </c>
      <c r="O79" s="129">
        <f>AVERAGE(I79:M79)</f>
        <v>0.18229970838782386</v>
      </c>
    </row>
    <row r="80" spans="1:15" x14ac:dyDescent="0.25">
      <c r="A80" s="126" t="s">
        <v>32</v>
      </c>
      <c r="B80" s="128">
        <v>2795434</v>
      </c>
      <c r="C80" s="128">
        <v>3156727</v>
      </c>
      <c r="D80" s="128">
        <v>3576976</v>
      </c>
      <c r="E80" s="128">
        <v>4069973</v>
      </c>
      <c r="F80" s="128">
        <v>4446461</v>
      </c>
      <c r="G80" s="128">
        <v>4839816</v>
      </c>
      <c r="I80" s="129">
        <f t="shared" si="0"/>
        <v>0.12924397428091666</v>
      </c>
      <c r="J80" s="129">
        <f t="shared" si="0"/>
        <v>0.13312807854464451</v>
      </c>
      <c r="K80" s="129">
        <f t="shared" si="0"/>
        <v>0.13782507906119582</v>
      </c>
      <c r="L80" s="129">
        <f t="shared" si="0"/>
        <v>9.2503807764818091E-2</v>
      </c>
      <c r="M80" s="129">
        <f t="shared" si="0"/>
        <v>8.8464736337505262E-2</v>
      </c>
      <c r="O80" s="129">
        <f>AVERAGE(I80:M80)</f>
        <v>0.11623313519781606</v>
      </c>
    </row>
    <row r="81" spans="1:16" x14ac:dyDescent="0.25">
      <c r="A81" s="126" t="s">
        <v>33</v>
      </c>
      <c r="B81" s="128">
        <v>1469521</v>
      </c>
      <c r="C81" s="128">
        <v>2372300</v>
      </c>
      <c r="D81" s="128">
        <v>3266601</v>
      </c>
      <c r="E81" s="128">
        <v>3570221</v>
      </c>
      <c r="F81" s="128">
        <v>3763727</v>
      </c>
      <c r="G81" s="128">
        <v>4414746</v>
      </c>
      <c r="I81" s="129">
        <f t="shared" si="0"/>
        <v>0.61433555559940956</v>
      </c>
      <c r="J81" s="129">
        <f t="shared" si="0"/>
        <v>0.37697635206339841</v>
      </c>
      <c r="K81" s="129">
        <f t="shared" si="0"/>
        <v>9.2946766378875167E-2</v>
      </c>
      <c r="L81" s="129">
        <f t="shared" si="0"/>
        <v>5.4200006106064583E-2</v>
      </c>
      <c r="M81" s="129">
        <f t="shared" si="0"/>
        <v>0.17297189727097634</v>
      </c>
      <c r="O81" s="129">
        <f>AVERAGE(I81:M81)</f>
        <v>0.26228611548374481</v>
      </c>
    </row>
    <row r="82" spans="1:16" x14ac:dyDescent="0.25">
      <c r="A82" s="126" t="s">
        <v>34</v>
      </c>
      <c r="B82" s="128">
        <f t="shared" ref="B82:G82" si="1">SUM(B78:B81)</f>
        <v>19859230</v>
      </c>
      <c r="C82" s="128">
        <f t="shared" si="1"/>
        <v>24756675</v>
      </c>
      <c r="D82" s="128">
        <f t="shared" si="1"/>
        <v>29515496</v>
      </c>
      <c r="E82" s="128">
        <f t="shared" si="1"/>
        <v>31469852</v>
      </c>
      <c r="F82" s="128">
        <f t="shared" si="1"/>
        <v>33640458</v>
      </c>
      <c r="G82" s="128">
        <f t="shared" si="1"/>
        <v>39000966</v>
      </c>
      <c r="I82" s="129">
        <f t="shared" si="0"/>
        <v>0.24660800041089206</v>
      </c>
      <c r="J82" s="129">
        <f t="shared" si="0"/>
        <v>0.19222375379569348</v>
      </c>
      <c r="K82" s="129">
        <f t="shared" si="0"/>
        <v>6.6214574201971743E-2</v>
      </c>
      <c r="L82" s="129">
        <f t="shared" si="0"/>
        <v>6.8974140710925488E-2</v>
      </c>
      <c r="M82" s="129">
        <f t="shared" si="0"/>
        <v>0.15934705764112961</v>
      </c>
      <c r="O82" s="129">
        <f>AVERAGE(I82:M82)</f>
        <v>0.14667350535212248</v>
      </c>
    </row>
    <row r="83" spans="1:16" x14ac:dyDescent="0.25">
      <c r="A83" s="126" t="s">
        <v>35</v>
      </c>
      <c r="B83" s="128">
        <v>297217</v>
      </c>
      <c r="C83" s="130">
        <v>239381</v>
      </c>
      <c r="D83" s="128">
        <v>182348</v>
      </c>
      <c r="E83" s="128">
        <v>145698</v>
      </c>
      <c r="F83" s="128">
        <v>82839</v>
      </c>
      <c r="G83" s="131">
        <v>0</v>
      </c>
      <c r="I83" s="129">
        <f t="shared" si="0"/>
        <v>-0.19459183021159623</v>
      </c>
      <c r="J83" s="129">
        <f t="shared" si="0"/>
        <v>-0.23825199159498875</v>
      </c>
      <c r="K83" s="129">
        <f t="shared" si="0"/>
        <v>-0.20098931712988352</v>
      </c>
      <c r="L83" s="129">
        <f t="shared" si="0"/>
        <v>-0.4314335131573529</v>
      </c>
      <c r="M83" s="129">
        <f t="shared" si="0"/>
        <v>-1</v>
      </c>
      <c r="O83" s="129">
        <v>0</v>
      </c>
      <c r="P83" s="101" t="s">
        <v>36</v>
      </c>
    </row>
    <row r="84" spans="1:16" x14ac:dyDescent="0.25">
      <c r="A84" s="126" t="s">
        <v>37</v>
      </c>
      <c r="B84" s="128">
        <f>B83+B82</f>
        <v>20156447</v>
      </c>
      <c r="C84" s="128">
        <f>SUM(C82:C83)</f>
        <v>24996056</v>
      </c>
      <c r="D84" s="128">
        <f>SUM(D82:D83)</f>
        <v>29697844</v>
      </c>
      <c r="E84" s="128">
        <f>E83+E82</f>
        <v>31615550</v>
      </c>
      <c r="F84" s="128">
        <f>F83+F82</f>
        <v>33723297</v>
      </c>
      <c r="G84" s="128">
        <f>G83+G82</f>
        <v>39000966</v>
      </c>
      <c r="I84" s="129">
        <f t="shared" si="0"/>
        <v>0.24010228588401517</v>
      </c>
      <c r="J84" s="129">
        <f t="shared" si="0"/>
        <v>0.18810119484449866</v>
      </c>
      <c r="K84" s="129">
        <f t="shared" si="0"/>
        <v>6.4573913176996955E-2</v>
      </c>
      <c r="L84" s="129">
        <f t="shared" si="0"/>
        <v>6.6668047843545339E-2</v>
      </c>
      <c r="M84" s="129">
        <f t="shared" si="0"/>
        <v>0.15649919994477407</v>
      </c>
      <c r="O84" s="129">
        <f>AVERAGE(I84:M84)</f>
        <v>0.14318892833876604</v>
      </c>
    </row>
    <row r="85" spans="1:16" x14ac:dyDescent="0.25">
      <c r="A85" s="126"/>
      <c r="B85" s="128"/>
      <c r="C85" s="128"/>
      <c r="D85" s="128"/>
      <c r="E85" s="128"/>
      <c r="F85" s="128"/>
      <c r="G85" s="128"/>
      <c r="I85" s="129"/>
      <c r="J85" s="129"/>
      <c r="K85" s="129"/>
      <c r="L85" s="129"/>
      <c r="M85" s="129"/>
    </row>
    <row r="86" spans="1:16" x14ac:dyDescent="0.25">
      <c r="A86" s="126" t="s">
        <v>38</v>
      </c>
      <c r="B86" s="128">
        <v>2604254</v>
      </c>
      <c r="C86" s="128">
        <v>4585289</v>
      </c>
      <c r="D86" s="128">
        <v>6194509</v>
      </c>
      <c r="E86" s="128">
        <v>5632831</v>
      </c>
      <c r="F86" s="128">
        <v>6954003</v>
      </c>
      <c r="G86" s="128">
        <v>10417614</v>
      </c>
      <c r="I86" s="129">
        <f>(C86-B86)/B86</f>
        <v>0.76069192943545449</v>
      </c>
      <c r="J86" s="129">
        <f t="shared" ref="J86:J87" si="2">(D86-C86)/C86</f>
        <v>0.35095279708650862</v>
      </c>
      <c r="K86" s="129">
        <f t="shared" ref="K86:K87" si="3">(E86-D86)/D86</f>
        <v>-9.0673530379889677E-2</v>
      </c>
      <c r="L86" s="129">
        <f t="shared" ref="L86:L87" si="4">(F86-E86)/E86</f>
        <v>0.23454848902798611</v>
      </c>
      <c r="M86" s="129">
        <f t="shared" ref="M86:M87" si="5">(G86-F86)/F86</f>
        <v>0.49807441843208866</v>
      </c>
      <c r="N86" s="129"/>
      <c r="O86" s="129">
        <f>AVERAGE(I86:M86)</f>
        <v>0.35071882072042965</v>
      </c>
    </row>
    <row r="87" spans="1:16" x14ac:dyDescent="0.25">
      <c r="A87" s="126" t="s">
        <v>39</v>
      </c>
      <c r="B87" s="132">
        <v>0.13</v>
      </c>
      <c r="C87" s="132">
        <v>0.18</v>
      </c>
      <c r="D87" s="132">
        <v>0.21</v>
      </c>
      <c r="E87" s="132">
        <v>0.18</v>
      </c>
      <c r="F87" s="132">
        <v>0.21</v>
      </c>
      <c r="G87" s="132">
        <v>0.27</v>
      </c>
      <c r="I87" s="129">
        <f>(C87-B87)/B87</f>
        <v>0.38461538461538453</v>
      </c>
      <c r="J87" s="129">
        <f t="shared" si="2"/>
        <v>0.16666666666666666</v>
      </c>
      <c r="K87" s="129">
        <f t="shared" si="3"/>
        <v>-0.14285714285714285</v>
      </c>
      <c r="L87" s="129">
        <f t="shared" si="4"/>
        <v>0.16666666666666666</v>
      </c>
      <c r="M87" s="129">
        <f t="shared" si="5"/>
        <v>0.28571428571428586</v>
      </c>
      <c r="N87" s="129"/>
      <c r="O87" s="129">
        <f>AVERAGE(I87:M87)</f>
        <v>0.17216117216117216</v>
      </c>
    </row>
    <row r="88" spans="1:16" x14ac:dyDescent="0.25">
      <c r="A88" s="126"/>
      <c r="B88" s="128"/>
      <c r="C88" s="128"/>
      <c r="D88" s="128"/>
      <c r="E88" s="128"/>
      <c r="F88" s="128"/>
      <c r="G88" s="128"/>
      <c r="I88" s="129"/>
      <c r="J88" s="129"/>
      <c r="K88" s="129"/>
      <c r="L88" s="129"/>
      <c r="M88" s="129"/>
    </row>
    <row r="89" spans="1:16" x14ac:dyDescent="0.25">
      <c r="A89" s="133" t="s">
        <v>40</v>
      </c>
      <c r="B89" s="128">
        <v>27831</v>
      </c>
      <c r="C89" s="128">
        <v>36573</v>
      </c>
      <c r="D89" s="128">
        <v>18181</v>
      </c>
      <c r="E89" s="128">
        <v>8903</v>
      </c>
      <c r="F89" s="128">
        <v>29529</v>
      </c>
      <c r="G89" s="128">
        <v>41350</v>
      </c>
      <c r="I89" s="129">
        <f>(C89-B89)/B89</f>
        <v>0.31411016492400562</v>
      </c>
      <c r="J89" s="129">
        <f t="shared" ref="J89:J92" si="6">(D89-C89)/C89</f>
        <v>-0.50288464167555302</v>
      </c>
      <c r="K89" s="129">
        <f t="shared" ref="K89:K92" si="7">(E89-D89)/D89</f>
        <v>-0.51031296408338378</v>
      </c>
      <c r="L89" s="129">
        <f t="shared" ref="L89:L92" si="8">(F89-E89)/E89</f>
        <v>2.3167471638773449</v>
      </c>
      <c r="M89" s="129">
        <f t="shared" ref="M89:M92" si="9">(G89-F89)/F89</f>
        <v>0.40031833113210741</v>
      </c>
      <c r="O89" s="129">
        <f>AVERAGE(I89:M89)</f>
        <v>0.40359561083490425</v>
      </c>
    </row>
    <row r="90" spans="1:16" x14ac:dyDescent="0.25">
      <c r="A90" s="133" t="s">
        <v>41</v>
      </c>
      <c r="B90" s="128">
        <v>167090</v>
      </c>
      <c r="C90" s="128">
        <v>203663</v>
      </c>
      <c r="D90" s="128">
        <v>221844</v>
      </c>
      <c r="E90" s="128">
        <v>230747</v>
      </c>
      <c r="F90" s="128">
        <v>260276</v>
      </c>
      <c r="G90" s="128">
        <v>301626</v>
      </c>
      <c r="I90" s="129">
        <f>(C90-B90)/B90</f>
        <v>0.21888203961936681</v>
      </c>
      <c r="J90" s="129">
        <f t="shared" si="6"/>
        <v>8.9270019591187397E-2</v>
      </c>
      <c r="K90" s="129">
        <f t="shared" si="7"/>
        <v>4.0131804330971313E-2</v>
      </c>
      <c r="L90" s="129">
        <f t="shared" si="8"/>
        <v>0.12797132790458815</v>
      </c>
      <c r="M90" s="129">
        <f t="shared" si="9"/>
        <v>0.15886981511933487</v>
      </c>
      <c r="O90" s="129">
        <f>AVERAGE(I90:M90)</f>
        <v>0.12702500131308972</v>
      </c>
    </row>
    <row r="91" spans="1:16" x14ac:dyDescent="0.25">
      <c r="A91" s="133" t="s">
        <v>42</v>
      </c>
      <c r="B91" s="128">
        <v>152984</v>
      </c>
      <c r="C91" s="128">
        <v>189083</v>
      </c>
      <c r="D91" s="128">
        <v>210784</v>
      </c>
      <c r="E91" s="128">
        <v>222924</v>
      </c>
      <c r="F91" s="128">
        <v>240889</v>
      </c>
      <c r="G91" s="128">
        <v>277730</v>
      </c>
      <c r="I91" s="129">
        <f>(C91-B91)/B91</f>
        <v>0.2359658526381844</v>
      </c>
      <c r="J91" s="129">
        <f t="shared" si="6"/>
        <v>0.11476970430974757</v>
      </c>
      <c r="K91" s="129">
        <f t="shared" si="7"/>
        <v>5.7594504326704113E-2</v>
      </c>
      <c r="L91" s="129">
        <f t="shared" si="8"/>
        <v>8.0588003086253607E-2</v>
      </c>
      <c r="M91" s="129">
        <f t="shared" si="9"/>
        <v>0.15293766008410511</v>
      </c>
      <c r="O91" s="129">
        <f>AVERAGE(I91:M91)</f>
        <v>0.12837114488899898</v>
      </c>
    </row>
    <row r="92" spans="1:16" x14ac:dyDescent="0.25">
      <c r="A92" s="133" t="s">
        <v>43</v>
      </c>
      <c r="B92" s="128">
        <v>10.82</v>
      </c>
      <c r="C92" s="128">
        <v>10.91</v>
      </c>
      <c r="D92" s="128">
        <v>11.67</v>
      </c>
      <c r="E92" s="128">
        <v>11.76</v>
      </c>
      <c r="F92" s="128">
        <v>11.64</v>
      </c>
      <c r="G92" s="128">
        <v>11.7</v>
      </c>
      <c r="I92" s="129">
        <f>(C92-B92)/B92</f>
        <v>8.3179297597042387E-3</v>
      </c>
      <c r="J92" s="129">
        <f t="shared" si="6"/>
        <v>6.9660861594867077E-2</v>
      </c>
      <c r="K92" s="129">
        <f t="shared" si="7"/>
        <v>7.7120822622107846E-3</v>
      </c>
      <c r="L92" s="129">
        <f t="shared" si="8"/>
        <v>-1.0204081632652994E-2</v>
      </c>
      <c r="M92" s="129">
        <f t="shared" si="9"/>
        <v>5.1546391752576217E-3</v>
      </c>
      <c r="O92" s="129">
        <f>AVERAGE(I92:M92)</f>
        <v>1.6128286231877346E-2</v>
      </c>
    </row>
    <row r="93" spans="1:16" x14ac:dyDescent="0.25">
      <c r="A93" s="126"/>
      <c r="B93" s="128"/>
      <c r="C93" s="134"/>
      <c r="D93" s="134"/>
      <c r="E93" s="134"/>
      <c r="F93" s="134"/>
      <c r="G93" s="134"/>
      <c r="I93" s="129"/>
      <c r="J93" s="129"/>
      <c r="K93" s="129"/>
      <c r="L93" s="129"/>
      <c r="M93" s="129"/>
    </row>
    <row r="94" spans="1:16" x14ac:dyDescent="0.25">
      <c r="A94" s="126" t="s">
        <v>44</v>
      </c>
      <c r="B94" s="128">
        <v>12440213</v>
      </c>
      <c r="C94" s="134">
        <v>15276319</v>
      </c>
      <c r="D94" s="134">
        <v>17332683</v>
      </c>
      <c r="E94" s="134">
        <v>19168285</v>
      </c>
      <c r="F94" s="134">
        <v>19715368</v>
      </c>
      <c r="G94" s="134">
        <v>21038464</v>
      </c>
      <c r="I94" s="129">
        <f>(C94-B94)/B94</f>
        <v>0.2279788939305139</v>
      </c>
      <c r="J94" s="129">
        <f t="shared" ref="J94" si="10">(D94-C94)/C94</f>
        <v>0.13461122407826126</v>
      </c>
      <c r="K94" s="129">
        <f t="shared" ref="K94" si="11">(E94-D94)/D94</f>
        <v>0.1059040888245634</v>
      </c>
      <c r="L94" s="129">
        <f t="shared" ref="L94" si="12">(F94-E94)/E94</f>
        <v>2.8541051012127585E-2</v>
      </c>
      <c r="M94" s="129">
        <f t="shared" ref="M94" si="13">(G94-F94)/F94</f>
        <v>6.7109880982186079E-2</v>
      </c>
      <c r="O94" s="129">
        <f>AVERAGE(I94:M94)</f>
        <v>0.11282902776553043</v>
      </c>
    </row>
    <row r="95" spans="1:16" x14ac:dyDescent="0.25">
      <c r="A95" s="126"/>
      <c r="B95" s="128"/>
      <c r="C95" s="134"/>
      <c r="D95" s="134"/>
      <c r="E95" s="134"/>
      <c r="F95" s="134"/>
      <c r="G95" s="134"/>
    </row>
    <row r="96" spans="1:16" x14ac:dyDescent="0.25">
      <c r="A96" s="126" t="s">
        <v>45</v>
      </c>
      <c r="B96" s="128"/>
      <c r="C96" s="134"/>
      <c r="D96" s="134"/>
      <c r="E96" s="134"/>
      <c r="F96" s="134"/>
      <c r="G96" s="134"/>
    </row>
    <row r="97" spans="1:15" x14ac:dyDescent="0.25">
      <c r="A97" s="126" t="s">
        <v>46</v>
      </c>
      <c r="B97" s="128">
        <v>2652462</v>
      </c>
      <c r="C97" s="134">
        <v>2228362</v>
      </c>
      <c r="D97" s="134">
        <v>2545146</v>
      </c>
      <c r="E97" s="134">
        <v>2530502</v>
      </c>
      <c r="F97" s="134">
        <v>2657883</v>
      </c>
      <c r="G97" s="134">
        <v>2917554</v>
      </c>
      <c r="I97" s="129">
        <f t="shared" ref="I97:I100" si="14">(C97-B97)/B97</f>
        <v>-0.1598891897414553</v>
      </c>
      <c r="J97" s="129">
        <f t="shared" ref="J97:J100" si="15">(D97-C97)/C97</f>
        <v>0.14216002606398781</v>
      </c>
      <c r="K97" s="129">
        <f t="shared" ref="K97:K100" si="16">(E97-D97)/D97</f>
        <v>-5.7536974303242332E-3</v>
      </c>
      <c r="L97" s="129">
        <f t="shared" ref="L97:L100" si="17">(F97-E97)/E97</f>
        <v>5.0338233283356425E-2</v>
      </c>
      <c r="M97" s="129">
        <f t="shared" ref="M97:M100" si="18">(G97-F97)/F97</f>
        <v>9.7698431420796178E-2</v>
      </c>
      <c r="O97" s="129">
        <f t="shared" ref="O97:O100" si="19">AVERAGE(I97:M97)</f>
        <v>2.4910760719272177E-2</v>
      </c>
    </row>
    <row r="98" spans="1:15" x14ac:dyDescent="0.25">
      <c r="A98" s="126" t="s">
        <v>47</v>
      </c>
      <c r="B98" s="128">
        <v>1545149</v>
      </c>
      <c r="C98" s="134">
        <v>1829600</v>
      </c>
      <c r="D98" s="134">
        <v>2273885</v>
      </c>
      <c r="E98" s="134">
        <v>2711041</v>
      </c>
      <c r="F98" s="134">
        <v>2675758</v>
      </c>
      <c r="G98" s="134">
        <v>2925295</v>
      </c>
      <c r="I98" s="129">
        <f t="shared" si="14"/>
        <v>0.18409292566606844</v>
      </c>
      <c r="J98" s="129">
        <f t="shared" si="15"/>
        <v>0.2428317665063402</v>
      </c>
      <c r="K98" s="129">
        <f t="shared" si="16"/>
        <v>0.19225070748960479</v>
      </c>
      <c r="L98" s="129">
        <f t="shared" si="17"/>
        <v>-1.3014557876476231E-2</v>
      </c>
      <c r="M98" s="129">
        <f t="shared" si="18"/>
        <v>9.3258433684959549E-2</v>
      </c>
      <c r="O98" s="129">
        <f t="shared" si="19"/>
        <v>0.13988385509409934</v>
      </c>
    </row>
    <row r="99" spans="1:15" x14ac:dyDescent="0.25">
      <c r="A99" s="126" t="s">
        <v>48</v>
      </c>
      <c r="B99" s="128">
        <v>914369</v>
      </c>
      <c r="C99" s="134">
        <v>1076486</v>
      </c>
      <c r="D99" s="134">
        <v>1351621</v>
      </c>
      <c r="E99" s="134">
        <v>1572891</v>
      </c>
      <c r="F99" s="134">
        <v>1720285</v>
      </c>
      <c r="G99" s="134">
        <v>1702039</v>
      </c>
      <c r="I99" s="129">
        <f t="shared" si="14"/>
        <v>0.17729931789026093</v>
      </c>
      <c r="J99" s="129">
        <f t="shared" si="15"/>
        <v>0.25558623149766929</v>
      </c>
      <c r="K99" s="129">
        <f t="shared" si="16"/>
        <v>0.16370713387850588</v>
      </c>
      <c r="L99" s="129">
        <f t="shared" si="17"/>
        <v>9.3708972840457483E-2</v>
      </c>
      <c r="M99" s="129">
        <f t="shared" si="18"/>
        <v>-1.0606382082038733E-2</v>
      </c>
      <c r="O99" s="129">
        <f t="shared" si="19"/>
        <v>0.13593905480497098</v>
      </c>
    </row>
    <row r="100" spans="1:15" x14ac:dyDescent="0.25">
      <c r="A100" s="126" t="s">
        <v>49</v>
      </c>
      <c r="B100" s="128">
        <v>626023</v>
      </c>
      <c r="C100" s="134">
        <v>767499</v>
      </c>
      <c r="D100" s="134">
        <v>765620</v>
      </c>
      <c r="E100" s="134">
        <v>706212</v>
      </c>
      <c r="F100" s="134">
        <v>699826</v>
      </c>
      <c r="G100" s="134">
        <v>718733</v>
      </c>
      <c r="I100" s="129">
        <f t="shared" si="14"/>
        <v>0.225991696790693</v>
      </c>
      <c r="J100" s="129">
        <f t="shared" si="15"/>
        <v>-2.4482116589076989E-3</v>
      </c>
      <c r="K100" s="129">
        <f t="shared" si="16"/>
        <v>-7.7594629189415121E-2</v>
      </c>
      <c r="L100" s="129">
        <f t="shared" si="17"/>
        <v>-9.0426104342605333E-3</v>
      </c>
      <c r="M100" s="129">
        <f t="shared" si="18"/>
        <v>2.7016715583587921E-2</v>
      </c>
      <c r="O100" s="129">
        <f t="shared" si="19"/>
        <v>3.2784592218339514E-2</v>
      </c>
    </row>
    <row r="101" spans="1:15" x14ac:dyDescent="0.25">
      <c r="A101" s="126"/>
      <c r="B101" s="128"/>
      <c r="C101" s="134"/>
      <c r="D101" s="134"/>
      <c r="E101" s="134"/>
      <c r="F101" s="134"/>
      <c r="G101" s="134"/>
    </row>
    <row r="102" spans="1:15" x14ac:dyDescent="0.25">
      <c r="A102" s="126"/>
      <c r="B102" s="128"/>
      <c r="C102" s="134"/>
      <c r="D102" s="134"/>
      <c r="E102" s="134"/>
      <c r="F102" s="134"/>
      <c r="G102" s="134"/>
    </row>
    <row r="103" spans="1:15" x14ac:dyDescent="0.25">
      <c r="A103" s="135" t="s">
        <v>50</v>
      </c>
      <c r="B103" s="127">
        <v>2019</v>
      </c>
      <c r="C103" s="126">
        <f>B103+1</f>
        <v>2020</v>
      </c>
      <c r="D103" s="126">
        <f t="shared" ref="D103:G103" si="20">C103+1</f>
        <v>2021</v>
      </c>
      <c r="E103" s="126">
        <f t="shared" si="20"/>
        <v>2022</v>
      </c>
      <c r="F103" s="126">
        <f t="shared" si="20"/>
        <v>2023</v>
      </c>
      <c r="G103" s="126">
        <f t="shared" si="20"/>
        <v>2024</v>
      </c>
      <c r="I103" s="126">
        <v>2020</v>
      </c>
      <c r="J103" s="126">
        <f>I103+1</f>
        <v>2021</v>
      </c>
      <c r="K103" s="126">
        <f t="shared" ref="K103" si="21">J103+1</f>
        <v>2022</v>
      </c>
      <c r="L103" s="126">
        <f t="shared" ref="L103" si="22">K103+1</f>
        <v>2023</v>
      </c>
      <c r="M103" s="126">
        <f t="shared" ref="M103" si="23">L103+1</f>
        <v>2024</v>
      </c>
      <c r="N103" s="126"/>
      <c r="O103" s="126" t="s">
        <v>29</v>
      </c>
    </row>
    <row r="104" spans="1:15" x14ac:dyDescent="0.25">
      <c r="A104" s="126"/>
      <c r="B104" s="128"/>
      <c r="C104" s="134"/>
      <c r="D104" s="134"/>
      <c r="E104" s="134"/>
      <c r="F104" s="134"/>
      <c r="H104" s="126" t="s">
        <v>28</v>
      </c>
      <c r="I104" s="134">
        <f>C84</f>
        <v>24996056</v>
      </c>
      <c r="J104" s="134">
        <f>D84</f>
        <v>29697844</v>
      </c>
      <c r="K104" s="134">
        <f>E84</f>
        <v>31615550</v>
      </c>
      <c r="L104" s="134">
        <f>F84</f>
        <v>33723297</v>
      </c>
      <c r="M104" s="134">
        <f>G84</f>
        <v>39000966</v>
      </c>
    </row>
    <row r="105" spans="1:15" x14ac:dyDescent="0.25">
      <c r="A105" s="126"/>
      <c r="B105" s="128"/>
      <c r="C105" s="134"/>
      <c r="D105" s="134"/>
      <c r="E105" s="134"/>
      <c r="F105" s="134"/>
      <c r="H105" s="126"/>
      <c r="I105" s="134"/>
      <c r="J105" s="134"/>
      <c r="K105" s="134"/>
      <c r="L105" s="134"/>
      <c r="M105" s="134"/>
    </row>
    <row r="106" spans="1:15" x14ac:dyDescent="0.25">
      <c r="A106" s="126" t="s">
        <v>51</v>
      </c>
      <c r="B106" s="128">
        <v>6125</v>
      </c>
      <c r="C106" s="134">
        <v>50700</v>
      </c>
      <c r="D106" s="134">
        <v>82381</v>
      </c>
      <c r="E106" s="134">
        <v>85005</v>
      </c>
      <c r="F106" s="134">
        <v>85000</v>
      </c>
      <c r="G106" s="134">
        <v>85000</v>
      </c>
      <c r="I106" s="129">
        <f>C106/$I$104</f>
        <v>2.0283199877612693E-3</v>
      </c>
      <c r="J106" s="129">
        <f>D106/$J$104</f>
        <v>2.7739724136203289E-3</v>
      </c>
      <c r="K106" s="129">
        <f>E106/$K$104</f>
        <v>2.6887085627167644E-3</v>
      </c>
      <c r="L106" s="129">
        <f>F106/$L$104</f>
        <v>2.5205127482048981E-3</v>
      </c>
      <c r="M106" s="129">
        <f>G106/$M$104</f>
        <v>2.1794331966033865E-3</v>
      </c>
      <c r="O106" s="129">
        <f t="shared" ref="O106:O113" si="24">AVERAGE(I106:M106)</f>
        <v>2.4381893817813295E-3</v>
      </c>
    </row>
    <row r="107" spans="1:15" x14ac:dyDescent="0.25">
      <c r="A107" s="126" t="s">
        <v>52</v>
      </c>
      <c r="B107" s="128">
        <v>33141</v>
      </c>
      <c r="C107" s="134">
        <v>42717</v>
      </c>
      <c r="D107" s="134">
        <v>48123</v>
      </c>
      <c r="E107" s="134">
        <v>52106</v>
      </c>
      <c r="F107" s="134">
        <v>154165</v>
      </c>
      <c r="G107" s="134">
        <v>475684</v>
      </c>
      <c r="I107" s="129">
        <f t="shared" ref="I107:I113" si="25">C107/$I$104</f>
        <v>1.7089496038895096E-3</v>
      </c>
      <c r="J107" s="129">
        <f t="shared" ref="J107:J113" si="26">D107/$J$104</f>
        <v>1.6204206608398913E-3</v>
      </c>
      <c r="K107" s="129">
        <f t="shared" ref="K107:K113" si="27">E107/$K$104</f>
        <v>1.6481130329853507E-3</v>
      </c>
      <c r="L107" s="129">
        <f t="shared" ref="L107:L113" si="28">F107/$L$104</f>
        <v>4.5714687979648014E-3</v>
      </c>
      <c r="M107" s="129">
        <f t="shared" ref="M107:M113" si="29">G107/$M$104</f>
        <v>1.219672353756571E-2</v>
      </c>
      <c r="O107" s="129">
        <f t="shared" si="24"/>
        <v>4.3491351266490529E-3</v>
      </c>
    </row>
    <row r="108" spans="1:15" x14ac:dyDescent="0.25">
      <c r="A108" s="126" t="s">
        <v>53</v>
      </c>
      <c r="B108" s="128">
        <v>354999</v>
      </c>
      <c r="C108" s="134">
        <v>524537</v>
      </c>
      <c r="D108" s="134">
        <v>863342</v>
      </c>
      <c r="E108" s="134">
        <v>1040570</v>
      </c>
      <c r="F108" s="134">
        <v>1032492</v>
      </c>
      <c r="G108" s="134">
        <v>1026593</v>
      </c>
      <c r="I108" s="129">
        <f t="shared" si="25"/>
        <v>2.0984790560558835E-2</v>
      </c>
      <c r="J108" s="129">
        <f t="shared" si="26"/>
        <v>2.9070864538179943E-2</v>
      </c>
      <c r="K108" s="129">
        <f t="shared" si="27"/>
        <v>3.2913234152181441E-2</v>
      </c>
      <c r="L108" s="129">
        <f t="shared" si="28"/>
        <v>3.0616579393171434E-2</v>
      </c>
      <c r="M108" s="129">
        <f t="shared" si="29"/>
        <v>2.6322245454125419E-2</v>
      </c>
      <c r="O108" s="129">
        <f t="shared" si="24"/>
        <v>2.7981542819643414E-2</v>
      </c>
    </row>
    <row r="109" spans="1:15" x14ac:dyDescent="0.25">
      <c r="A109" s="126" t="s">
        <v>54</v>
      </c>
      <c r="B109" s="128">
        <v>87465</v>
      </c>
      <c r="C109" s="134">
        <v>110185</v>
      </c>
      <c r="D109" s="134">
        <v>139809</v>
      </c>
      <c r="E109" s="134">
        <v>153682</v>
      </c>
      <c r="F109" s="134">
        <v>144737</v>
      </c>
      <c r="G109" s="134">
        <v>134987</v>
      </c>
      <c r="I109" s="129">
        <f t="shared" si="25"/>
        <v>4.4080954211336383E-3</v>
      </c>
      <c r="J109" s="129">
        <f t="shared" si="26"/>
        <v>4.7077154826458108E-3</v>
      </c>
      <c r="K109" s="129">
        <f t="shared" si="27"/>
        <v>4.8609624061577298E-3</v>
      </c>
      <c r="L109" s="129">
        <f t="shared" si="28"/>
        <v>4.2918994545521451E-3</v>
      </c>
      <c r="M109" s="129">
        <f t="shared" si="29"/>
        <v>3.4611193989400159E-3</v>
      </c>
      <c r="O109" s="129">
        <f t="shared" si="24"/>
        <v>4.3459584326858676E-3</v>
      </c>
    </row>
    <row r="110" spans="1:15" x14ac:dyDescent="0.25">
      <c r="A110" s="126" t="s">
        <v>55</v>
      </c>
      <c r="B110" s="128">
        <v>243565</v>
      </c>
      <c r="C110" s="134">
        <v>283014</v>
      </c>
      <c r="D110" s="134">
        <v>380452</v>
      </c>
      <c r="E110" s="134">
        <v>442681</v>
      </c>
      <c r="F110" s="134">
        <v>414092</v>
      </c>
      <c r="G110" s="134">
        <v>446419</v>
      </c>
      <c r="I110" s="129">
        <f t="shared" si="25"/>
        <v>1.1322346213338616E-2</v>
      </c>
      <c r="J110" s="129">
        <f t="shared" si="26"/>
        <v>1.2810761616230458E-2</v>
      </c>
      <c r="K110" s="129">
        <f t="shared" si="27"/>
        <v>1.4002002179307334E-2</v>
      </c>
      <c r="L110" s="129">
        <f t="shared" si="28"/>
        <v>1.2279107822701914E-2</v>
      </c>
      <c r="M110" s="129">
        <f t="shared" si="29"/>
        <v>1.1446357508170439E-2</v>
      </c>
      <c r="O110" s="129">
        <f t="shared" si="24"/>
        <v>1.2372115067949751E-2</v>
      </c>
    </row>
    <row r="111" spans="1:15" x14ac:dyDescent="0.25">
      <c r="A111" s="126" t="s">
        <v>56</v>
      </c>
      <c r="B111" s="128">
        <v>108995</v>
      </c>
      <c r="C111" s="134">
        <v>110629</v>
      </c>
      <c r="D111" s="134">
        <v>110978</v>
      </c>
      <c r="E111" s="134">
        <v>115578</v>
      </c>
      <c r="F111" s="134">
        <v>99175</v>
      </c>
      <c r="G111" s="134">
        <v>99175</v>
      </c>
      <c r="I111" s="129">
        <f t="shared" si="25"/>
        <v>4.4258582233933225E-3</v>
      </c>
      <c r="J111" s="129">
        <f t="shared" si="26"/>
        <v>3.7369042682020956E-3</v>
      </c>
      <c r="K111" s="129">
        <f t="shared" si="27"/>
        <v>3.6557327011549697E-3</v>
      </c>
      <c r="L111" s="129">
        <f t="shared" si="28"/>
        <v>2.9408453153320093E-3</v>
      </c>
      <c r="M111" s="129">
        <f t="shared" si="29"/>
        <v>2.5428857326251866E-3</v>
      </c>
      <c r="O111" s="129">
        <f t="shared" si="24"/>
        <v>3.4604452481415164E-3</v>
      </c>
    </row>
    <row r="112" spans="1:15" x14ac:dyDescent="0.25">
      <c r="A112" s="126" t="s">
        <v>57</v>
      </c>
      <c r="B112" s="128">
        <v>46415</v>
      </c>
      <c r="C112" s="134">
        <v>34633</v>
      </c>
      <c r="D112" s="134">
        <v>32426</v>
      </c>
      <c r="E112" s="134">
        <v>26821</v>
      </c>
      <c r="F112" s="134">
        <v>10334</v>
      </c>
      <c r="G112" s="134">
        <v>15135</v>
      </c>
      <c r="I112" s="129">
        <f t="shared" si="25"/>
        <v>1.3855385825667858E-3</v>
      </c>
      <c r="J112" s="129">
        <f t="shared" si="26"/>
        <v>1.0918637730065522E-3</v>
      </c>
      <c r="K112" s="129">
        <f t="shared" si="27"/>
        <v>8.4834836022147327E-4</v>
      </c>
      <c r="L112" s="129">
        <f t="shared" si="28"/>
        <v>3.064350439994049E-4</v>
      </c>
      <c r="M112" s="129">
        <f t="shared" si="29"/>
        <v>3.8806731094814421E-4</v>
      </c>
      <c r="O112" s="129">
        <f t="shared" si="24"/>
        <v>8.0405061414847226E-4</v>
      </c>
    </row>
    <row r="113" spans="1:15" x14ac:dyDescent="0.25">
      <c r="A113" s="126" t="s">
        <v>58</v>
      </c>
      <c r="B113" s="128">
        <v>100521</v>
      </c>
      <c r="C113" s="134">
        <v>298558</v>
      </c>
      <c r="D113" s="134">
        <v>282248</v>
      </c>
      <c r="E113" s="134">
        <v>235555</v>
      </c>
      <c r="F113" s="134">
        <v>406492</v>
      </c>
      <c r="G113" s="134">
        <v>228300</v>
      </c>
      <c r="I113" s="129">
        <f t="shared" si="25"/>
        <v>1.1944204317673157E-2</v>
      </c>
      <c r="J113" s="129">
        <f t="shared" si="26"/>
        <v>9.5039895825434328E-3</v>
      </c>
      <c r="K113" s="129">
        <f t="shared" si="27"/>
        <v>7.4506057936679897E-3</v>
      </c>
      <c r="L113" s="129">
        <f t="shared" si="28"/>
        <v>1.2053744329921241E-2</v>
      </c>
      <c r="M113" s="129">
        <f t="shared" si="29"/>
        <v>5.8537011621712142E-3</v>
      </c>
      <c r="O113" s="129">
        <f t="shared" si="24"/>
        <v>9.3612490371954068E-3</v>
      </c>
    </row>
    <row r="115" spans="1:15" x14ac:dyDescent="0.25">
      <c r="A115" s="139" t="s">
        <v>59</v>
      </c>
      <c r="B115" s="127">
        <v>2019</v>
      </c>
      <c r="C115" s="126">
        <f>B115+1</f>
        <v>2020</v>
      </c>
      <c r="D115" s="126">
        <f t="shared" ref="D115" si="30">C115+1</f>
        <v>2021</v>
      </c>
      <c r="E115" s="126">
        <f t="shared" ref="E115" si="31">D115+1</f>
        <v>2022</v>
      </c>
      <c r="F115" s="126">
        <f t="shared" ref="F115" si="32">E115+1</f>
        <v>2023</v>
      </c>
      <c r="G115" s="126">
        <f t="shared" ref="G115" si="33">F115+1</f>
        <v>2024</v>
      </c>
      <c r="I115" s="126">
        <v>2020</v>
      </c>
      <c r="J115" s="126">
        <f>I115+1</f>
        <v>2021</v>
      </c>
      <c r="K115" s="126">
        <f t="shared" ref="K115" si="34">J115+1</f>
        <v>2022</v>
      </c>
      <c r="L115" s="126">
        <f t="shared" ref="L115" si="35">K115+1</f>
        <v>2023</v>
      </c>
      <c r="M115" s="126">
        <f t="shared" ref="M115" si="36">L115+1</f>
        <v>2024</v>
      </c>
      <c r="N115" s="126"/>
      <c r="O115" s="126" t="s">
        <v>29</v>
      </c>
    </row>
    <row r="116" spans="1:15" x14ac:dyDescent="0.25">
      <c r="H116" s="126" t="s">
        <v>28</v>
      </c>
      <c r="I116" s="136">
        <f>C84/1000</f>
        <v>24996.056</v>
      </c>
      <c r="J116" s="136">
        <f>D84/1000</f>
        <v>29697.844000000001</v>
      </c>
      <c r="K116" s="136">
        <f>E84/1000</f>
        <v>31615.55</v>
      </c>
      <c r="L116" s="136">
        <f>F84/1000</f>
        <v>33723.296999999999</v>
      </c>
      <c r="M116" s="136">
        <f>G84/1000</f>
        <v>39000.966</v>
      </c>
      <c r="N116" s="136"/>
      <c r="O116" s="136"/>
    </row>
    <row r="117" spans="1:15" x14ac:dyDescent="0.25">
      <c r="I117" s="207"/>
      <c r="J117" s="207"/>
      <c r="K117" s="207"/>
      <c r="L117" s="207"/>
      <c r="M117" s="207"/>
    </row>
    <row r="118" spans="1:15" x14ac:dyDescent="0.25">
      <c r="A118" s="101" t="s">
        <v>60</v>
      </c>
      <c r="B118" s="137">
        <v>454.4</v>
      </c>
      <c r="C118" s="137">
        <v>610.79999999999995</v>
      </c>
      <c r="D118" s="137">
        <v>804.3</v>
      </c>
      <c r="E118" s="137">
        <v>988.9</v>
      </c>
      <c r="F118" s="137">
        <v>1287.0999999999999</v>
      </c>
      <c r="G118" s="137">
        <v>1335.3</v>
      </c>
      <c r="I118" s="129">
        <f>C118/$I$116</f>
        <v>2.4435855000484875E-2</v>
      </c>
      <c r="J118" s="129">
        <f>D118/$J$116</f>
        <v>2.7082774089593843E-2</v>
      </c>
      <c r="K118" s="129">
        <f>E118/$K$116</f>
        <v>3.127891180131296E-2</v>
      </c>
      <c r="L118" s="129">
        <f>F118/$L$116</f>
        <v>3.8166493626053226E-2</v>
      </c>
      <c r="M118" s="129">
        <f>G118/$M$116</f>
        <v>3.4237613499111787E-2</v>
      </c>
      <c r="O118" s="129">
        <f t="shared" ref="O118:O131" si="37">AVERAGE(I118:M118)</f>
        <v>3.104032960331134E-2</v>
      </c>
    </row>
    <row r="119" spans="1:15" x14ac:dyDescent="0.25">
      <c r="A119" s="101" t="s">
        <v>61</v>
      </c>
      <c r="B119" s="137" t="s">
        <v>62</v>
      </c>
      <c r="C119" s="137" t="s">
        <v>62</v>
      </c>
      <c r="D119" s="137" t="s">
        <v>62</v>
      </c>
      <c r="E119" s="137">
        <v>598</v>
      </c>
      <c r="F119" s="137">
        <v>555</v>
      </c>
      <c r="G119" s="137">
        <v>653</v>
      </c>
      <c r="I119" s="137" t="str">
        <f>B119</f>
        <v>-</v>
      </c>
      <c r="J119" s="137" t="str">
        <f>C119</f>
        <v>-</v>
      </c>
      <c r="K119" s="129">
        <f t="shared" ref="K119:K131" si="38">E119/$K$116</f>
        <v>1.8914742903413037E-2</v>
      </c>
      <c r="L119" s="129">
        <f t="shared" ref="L119:L131" si="39">F119/$L$116</f>
        <v>1.645746559122022E-2</v>
      </c>
      <c r="M119" s="129">
        <f t="shared" ref="M119:M131" si="40">G119/$M$116</f>
        <v>1.6743175028023666E-2</v>
      </c>
      <c r="O119" s="129">
        <f t="shared" si="37"/>
        <v>1.7371794507552305E-2</v>
      </c>
    </row>
    <row r="120" spans="1:15" x14ac:dyDescent="0.25">
      <c r="A120" s="101" t="s">
        <v>63</v>
      </c>
      <c r="B120" s="137">
        <v>181</v>
      </c>
      <c r="C120" s="137">
        <v>203</v>
      </c>
      <c r="D120" s="137">
        <v>323.8</v>
      </c>
      <c r="E120" s="137">
        <v>392.7</v>
      </c>
      <c r="F120" s="137">
        <v>408.9</v>
      </c>
      <c r="G120" s="137">
        <v>431.9</v>
      </c>
      <c r="I120" s="129">
        <f t="shared" ref="I120:I131" si="41">C120/$I$116</f>
        <v>8.1212812133242135E-3</v>
      </c>
      <c r="J120" s="129">
        <f t="shared" ref="J120:J131" si="42">D120/$J$116</f>
        <v>1.0903148390165967E-2</v>
      </c>
      <c r="K120" s="129">
        <f t="shared" si="38"/>
        <v>1.2421102906639296E-2</v>
      </c>
      <c r="L120" s="129">
        <f t="shared" si="39"/>
        <v>1.2125148973423329E-2</v>
      </c>
      <c r="M120" s="129">
        <f t="shared" si="40"/>
        <v>1.1074084677800031E-2</v>
      </c>
      <c r="O120" s="129">
        <f t="shared" si="37"/>
        <v>1.0928953232270567E-2</v>
      </c>
    </row>
    <row r="121" spans="1:15" x14ac:dyDescent="0.25">
      <c r="A121" s="101" t="s">
        <v>64</v>
      </c>
      <c r="B121" s="137">
        <v>524.70000000000005</v>
      </c>
      <c r="C121" s="137">
        <v>742.2</v>
      </c>
      <c r="D121" s="137">
        <v>910.7</v>
      </c>
      <c r="E121" s="137">
        <v>1225</v>
      </c>
      <c r="F121" s="137">
        <v>529.29999999999995</v>
      </c>
      <c r="G121" s="137">
        <v>1096.4000000000001</v>
      </c>
      <c r="I121" s="129">
        <f t="shared" si="41"/>
        <v>2.9692684317877988E-2</v>
      </c>
      <c r="J121" s="129">
        <f t="shared" si="42"/>
        <v>3.066552575331731E-2</v>
      </c>
      <c r="K121" s="129">
        <f t="shared" si="38"/>
        <v>3.874675594762704E-2</v>
      </c>
      <c r="L121" s="129">
        <f t="shared" si="39"/>
        <v>1.5695381148527678E-2</v>
      </c>
      <c r="M121" s="129">
        <f t="shared" si="40"/>
        <v>2.8112124197128864E-2</v>
      </c>
      <c r="O121" s="129">
        <f t="shared" si="37"/>
        <v>2.8582494272895775E-2</v>
      </c>
    </row>
    <row r="122" spans="1:15" x14ac:dyDescent="0.25">
      <c r="B122" s="137"/>
      <c r="C122" s="137"/>
      <c r="D122" s="137"/>
      <c r="E122" s="137"/>
      <c r="F122" s="137"/>
      <c r="G122" s="137"/>
      <c r="I122" s="129"/>
      <c r="J122" s="129"/>
      <c r="K122" s="129"/>
      <c r="L122" s="129"/>
      <c r="M122" s="129"/>
      <c r="O122" s="129"/>
    </row>
    <row r="123" spans="1:15" x14ac:dyDescent="0.25">
      <c r="A123" s="101" t="s">
        <v>65</v>
      </c>
      <c r="B123" s="137">
        <v>674.3</v>
      </c>
      <c r="C123" s="137">
        <v>656.2</v>
      </c>
      <c r="D123" s="137">
        <v>837.5</v>
      </c>
      <c r="E123" s="137">
        <v>671.5</v>
      </c>
      <c r="F123" s="137">
        <v>747.4</v>
      </c>
      <c r="G123" s="137">
        <v>899.9</v>
      </c>
      <c r="I123" s="129">
        <f t="shared" si="41"/>
        <v>2.6252141537849012E-2</v>
      </c>
      <c r="J123" s="129">
        <f t="shared" si="42"/>
        <v>2.8200700360605301E-2</v>
      </c>
      <c r="K123" s="129">
        <f t="shared" si="38"/>
        <v>2.123954826027066E-2</v>
      </c>
      <c r="L123" s="129">
        <f t="shared" si="39"/>
        <v>2.2162720329509892E-2</v>
      </c>
      <c r="M123" s="129">
        <f t="shared" si="40"/>
        <v>2.3073787454392796E-2</v>
      </c>
      <c r="O123" s="129">
        <f t="shared" si="37"/>
        <v>2.4185779588525531E-2</v>
      </c>
    </row>
    <row r="124" spans="1:15" x14ac:dyDescent="0.25">
      <c r="A124" s="101" t="s">
        <v>66</v>
      </c>
      <c r="B124" s="137">
        <v>652.4</v>
      </c>
      <c r="C124" s="137">
        <v>846</v>
      </c>
      <c r="D124" s="137">
        <v>1134.2</v>
      </c>
      <c r="E124" s="137">
        <v>1158.7</v>
      </c>
      <c r="F124" s="137">
        <v>1280.5999999999999</v>
      </c>
      <c r="G124" s="137">
        <v>1410.1</v>
      </c>
      <c r="I124" s="129">
        <f t="shared" si="41"/>
        <v>3.3845339440750175E-2</v>
      </c>
      <c r="J124" s="129">
        <f t="shared" si="42"/>
        <v>3.8191324595819143E-2</v>
      </c>
      <c r="K124" s="129">
        <f t="shared" si="38"/>
        <v>3.6649686625726902E-2</v>
      </c>
      <c r="L124" s="129">
        <f t="shared" si="39"/>
        <v>3.797374853354344E-2</v>
      </c>
      <c r="M124" s="129">
        <f t="shared" si="40"/>
        <v>3.615551471212277E-2</v>
      </c>
      <c r="O124" s="129">
        <f t="shared" si="37"/>
        <v>3.6563122781592489E-2</v>
      </c>
    </row>
    <row r="125" spans="1:15" x14ac:dyDescent="0.25">
      <c r="A125" s="101" t="s">
        <v>67</v>
      </c>
      <c r="B125" s="137" t="s">
        <v>62</v>
      </c>
      <c r="C125" s="137">
        <v>499.9</v>
      </c>
      <c r="D125" s="137">
        <v>699.8</v>
      </c>
      <c r="E125" s="137" t="s">
        <v>62</v>
      </c>
      <c r="F125" s="137">
        <v>399.8</v>
      </c>
      <c r="G125" s="137">
        <v>1784.5</v>
      </c>
      <c r="I125" s="129">
        <f t="shared" si="41"/>
        <v>1.9999155066703321E-2</v>
      </c>
      <c r="J125" s="129">
        <f t="shared" si="42"/>
        <v>2.356400013415115E-2</v>
      </c>
      <c r="K125" s="137" t="str">
        <f>E125</f>
        <v>-</v>
      </c>
      <c r="L125" s="129">
        <f t="shared" si="39"/>
        <v>1.1855305843909628E-2</v>
      </c>
      <c r="M125" s="129">
        <f t="shared" si="40"/>
        <v>4.5755276933396982E-2</v>
      </c>
      <c r="O125" s="129">
        <f t="shared" si="37"/>
        <v>2.529343449454027E-2</v>
      </c>
    </row>
    <row r="126" spans="1:15" x14ac:dyDescent="0.25">
      <c r="A126" s="101" t="s">
        <v>68</v>
      </c>
      <c r="B126" s="137">
        <v>190.6</v>
      </c>
      <c r="C126" s="137">
        <v>256.2</v>
      </c>
      <c r="D126" s="137">
        <v>315.2</v>
      </c>
      <c r="E126" s="137">
        <v>356</v>
      </c>
      <c r="F126" s="137">
        <v>383.3</v>
      </c>
      <c r="G126" s="137">
        <v>428.5</v>
      </c>
      <c r="I126" s="129">
        <f t="shared" si="41"/>
        <v>1.0249616979574697E-2</v>
      </c>
      <c r="J126" s="129">
        <f t="shared" si="42"/>
        <v>1.0613565079000346E-2</v>
      </c>
      <c r="K126" s="129">
        <f t="shared" si="38"/>
        <v>1.1260281728453246E-2</v>
      </c>
      <c r="L126" s="129">
        <f t="shared" si="39"/>
        <v>1.1366029839846324E-2</v>
      </c>
      <c r="M126" s="129">
        <f t="shared" si="40"/>
        <v>1.0986907349935897E-2</v>
      </c>
      <c r="O126" s="129">
        <f t="shared" si="37"/>
        <v>1.0895280195362102E-2</v>
      </c>
    </row>
    <row r="127" spans="1:15" x14ac:dyDescent="0.25">
      <c r="A127" s="101" t="s">
        <v>69</v>
      </c>
      <c r="B127" s="137">
        <v>924.7</v>
      </c>
      <c r="C127" s="137">
        <v>1118</v>
      </c>
      <c r="D127" s="137">
        <v>1209.3</v>
      </c>
      <c r="E127" s="137">
        <v>1264.7</v>
      </c>
      <c r="F127" s="137">
        <v>1443</v>
      </c>
      <c r="G127" s="137">
        <v>1520.8</v>
      </c>
      <c r="I127" s="129">
        <f t="shared" si="41"/>
        <v>4.4727056140376704E-2</v>
      </c>
      <c r="J127" s="129">
        <f t="shared" si="42"/>
        <v>4.0720127696811929E-2</v>
      </c>
      <c r="K127" s="129">
        <f t="shared" si="38"/>
        <v>4.0002467140378709E-2</v>
      </c>
      <c r="L127" s="129">
        <f t="shared" si="39"/>
        <v>4.278941053717257E-2</v>
      </c>
      <c r="M127" s="129">
        <f t="shared" si="40"/>
        <v>3.899390594581683E-2</v>
      </c>
      <c r="O127" s="129">
        <f t="shared" si="37"/>
        <v>4.1446593492111342E-2</v>
      </c>
    </row>
    <row r="128" spans="1:15" x14ac:dyDescent="0.25">
      <c r="A128" s="101" t="s">
        <v>70</v>
      </c>
      <c r="B128" s="137">
        <v>4413.6000000000004</v>
      </c>
      <c r="C128" s="137">
        <v>4429.5</v>
      </c>
      <c r="D128" s="137">
        <v>4293</v>
      </c>
      <c r="E128" s="137">
        <v>4480.2</v>
      </c>
      <c r="F128" s="137">
        <v>4606.6000000000004</v>
      </c>
      <c r="G128" s="137">
        <v>4711.6000000000004</v>
      </c>
      <c r="I128" s="129">
        <f t="shared" si="41"/>
        <v>0.17720795632719016</v>
      </c>
      <c r="J128" s="129">
        <f t="shared" si="42"/>
        <v>0.14455594823651172</v>
      </c>
      <c r="K128" s="129">
        <f t="shared" si="38"/>
        <v>0.14170874775229278</v>
      </c>
      <c r="L128" s="129">
        <f t="shared" si="39"/>
        <v>0.13659992971624335</v>
      </c>
      <c r="M128" s="129">
        <f t="shared" si="40"/>
        <v>0.12080726410725315</v>
      </c>
      <c r="O128" s="129">
        <f t="shared" si="37"/>
        <v>0.14417596922789824</v>
      </c>
    </row>
    <row r="129" spans="1:15" x14ac:dyDescent="0.25">
      <c r="A129" s="126" t="s">
        <v>71</v>
      </c>
      <c r="B129" s="138">
        <f>SUM(B118:B121)-SUM(B123:B128)</f>
        <v>-5695.5</v>
      </c>
      <c r="C129" s="138">
        <f t="shared" ref="C129:G129" si="43">SUM(C118:C121)-SUM(C123:C128)</f>
        <v>-6249.7999999999993</v>
      </c>
      <c r="D129" s="138">
        <f t="shared" si="43"/>
        <v>-6450.2</v>
      </c>
      <c r="E129" s="138">
        <f t="shared" si="43"/>
        <v>-4726.4999999999991</v>
      </c>
      <c r="F129" s="138">
        <f t="shared" si="43"/>
        <v>-6080.4000000000005</v>
      </c>
      <c r="G129" s="138">
        <f t="shared" si="43"/>
        <v>-7238.8000000000011</v>
      </c>
      <c r="I129" s="129">
        <f t="shared" si="41"/>
        <v>-0.25003144496075697</v>
      </c>
      <c r="J129" s="129">
        <f t="shared" si="42"/>
        <v>-0.21719421786982246</v>
      </c>
      <c r="K129" s="129">
        <f t="shared" si="38"/>
        <v>-0.14949921794812993</v>
      </c>
      <c r="L129" s="129">
        <f t="shared" si="39"/>
        <v>-0.18030265546100077</v>
      </c>
      <c r="M129" s="129">
        <f t="shared" si="40"/>
        <v>-0.18560565910085408</v>
      </c>
      <c r="O129" s="129">
        <f t="shared" si="37"/>
        <v>-0.19652663906811285</v>
      </c>
    </row>
    <row r="130" spans="1:15" x14ac:dyDescent="0.25">
      <c r="A130" s="101" t="s">
        <v>72</v>
      </c>
      <c r="B130" s="137">
        <v>5018.3999999999996</v>
      </c>
      <c r="C130" s="137">
        <v>8205.6</v>
      </c>
      <c r="D130" s="137">
        <v>6027.8</v>
      </c>
      <c r="E130" s="137">
        <v>6058.5</v>
      </c>
      <c r="F130" s="137">
        <v>7137.9</v>
      </c>
      <c r="G130" s="137">
        <v>9583.7000000000007</v>
      </c>
      <c r="I130" s="129">
        <f t="shared" si="41"/>
        <v>0.32827578878843927</v>
      </c>
      <c r="J130" s="129">
        <f t="shared" si="42"/>
        <v>0.20297096314466465</v>
      </c>
      <c r="K130" s="129">
        <f t="shared" si="38"/>
        <v>0.191630384415264</v>
      </c>
      <c r="L130" s="129">
        <f t="shared" si="39"/>
        <v>0.2116607993577852</v>
      </c>
      <c r="M130" s="129">
        <f t="shared" si="40"/>
        <v>0.24572981089750445</v>
      </c>
      <c r="O130" s="129">
        <f t="shared" si="37"/>
        <v>0.23605354932073155</v>
      </c>
    </row>
    <row r="131" spans="1:15" x14ac:dyDescent="0.25">
      <c r="A131" s="126" t="s">
        <v>73</v>
      </c>
      <c r="B131" s="138">
        <f>SUM(B129:B130)</f>
        <v>-677.10000000000036</v>
      </c>
      <c r="C131" s="138">
        <f t="shared" ref="C131:G131" si="44">SUM(C129:C130)</f>
        <v>1955.8000000000011</v>
      </c>
      <c r="D131" s="138">
        <f t="shared" si="44"/>
        <v>-422.39999999999964</v>
      </c>
      <c r="E131" s="138">
        <f t="shared" si="44"/>
        <v>1332.0000000000009</v>
      </c>
      <c r="F131" s="138">
        <f t="shared" si="44"/>
        <v>1057.4999999999991</v>
      </c>
      <c r="G131" s="138">
        <f t="shared" si="44"/>
        <v>2344.8999999999996</v>
      </c>
      <c r="I131" s="129">
        <f t="shared" si="41"/>
        <v>7.8244343827682292E-2</v>
      </c>
      <c r="J131" s="129">
        <f t="shared" si="42"/>
        <v>-1.4223254725157813E-2</v>
      </c>
      <c r="K131" s="129">
        <f t="shared" si="38"/>
        <v>4.2131166467134079E-2</v>
      </c>
      <c r="L131" s="129">
        <f t="shared" si="39"/>
        <v>3.1358143896784443E-2</v>
      </c>
      <c r="M131" s="129">
        <f t="shared" si="40"/>
        <v>6.0124151796650357E-2</v>
      </c>
      <c r="O131" s="129">
        <f t="shared" si="37"/>
        <v>3.9526910252618674E-2</v>
      </c>
    </row>
    <row r="132" spans="1:15" x14ac:dyDescent="0.25">
      <c r="C132" s="126"/>
    </row>
    <row r="133" spans="1:15" x14ac:dyDescent="0.25">
      <c r="A133" s="139" t="s">
        <v>74</v>
      </c>
      <c r="B133" s="127">
        <v>2025</v>
      </c>
      <c r="C133" s="127">
        <f>B133+1</f>
        <v>2026</v>
      </c>
      <c r="D133" s="127">
        <f t="shared" ref="D133:F133" si="45">C133+1</f>
        <v>2027</v>
      </c>
      <c r="E133" s="127">
        <f t="shared" si="45"/>
        <v>2028</v>
      </c>
      <c r="F133" s="127">
        <f t="shared" si="45"/>
        <v>2029</v>
      </c>
      <c r="G133" s="140" t="s">
        <v>75</v>
      </c>
      <c r="I133" s="126"/>
      <c r="J133" s="126"/>
      <c r="K133" s="126"/>
      <c r="L133" s="126"/>
      <c r="M133" s="126"/>
      <c r="N133" s="126"/>
      <c r="O133" s="126"/>
    </row>
    <row r="134" spans="1:15" x14ac:dyDescent="0.25">
      <c r="C134" s="141"/>
    </row>
    <row r="135" spans="1:15" x14ac:dyDescent="0.25">
      <c r="A135" s="101" t="s">
        <v>76</v>
      </c>
      <c r="B135" s="141">
        <v>11424696</v>
      </c>
      <c r="C135" s="141">
        <v>0</v>
      </c>
      <c r="D135" s="141">
        <v>0</v>
      </c>
      <c r="E135" s="141">
        <v>0</v>
      </c>
      <c r="F135" s="141">
        <v>0</v>
      </c>
      <c r="G135" s="141">
        <v>11824235</v>
      </c>
    </row>
    <row r="136" spans="1:15" x14ac:dyDescent="0.25">
      <c r="A136" s="101" t="s">
        <v>77</v>
      </c>
      <c r="B136" s="141">
        <v>2486945</v>
      </c>
      <c r="C136" s="141">
        <v>0</v>
      </c>
      <c r="D136" s="141">
        <v>0</v>
      </c>
      <c r="E136" s="141">
        <v>0</v>
      </c>
      <c r="F136" s="141">
        <v>0</v>
      </c>
      <c r="G136" s="141">
        <v>17354517</v>
      </c>
    </row>
    <row r="137" spans="1:15" x14ac:dyDescent="0.25">
      <c r="A137" s="101" t="s">
        <v>78</v>
      </c>
      <c r="B137" s="141">
        <v>505201</v>
      </c>
      <c r="C137" s="141">
        <v>477256</v>
      </c>
      <c r="D137" s="101">
        <v>415983</v>
      </c>
      <c r="E137" s="101">
        <v>345912</v>
      </c>
      <c r="F137" s="101">
        <v>276109</v>
      </c>
      <c r="G137" s="101">
        <v>696367</v>
      </c>
    </row>
    <row r="138" spans="1:15" x14ac:dyDescent="0.25">
      <c r="A138" s="101" t="s">
        <v>79</v>
      </c>
      <c r="B138" s="141">
        <f>SUM(B135:B137)</f>
        <v>14416842</v>
      </c>
      <c r="C138" s="141">
        <f t="shared" ref="C138:G138" si="46">SUM(C135:C137)</f>
        <v>477256</v>
      </c>
      <c r="D138" s="141">
        <f t="shared" si="46"/>
        <v>415983</v>
      </c>
      <c r="E138" s="141">
        <f t="shared" si="46"/>
        <v>345912</v>
      </c>
      <c r="F138" s="141">
        <f t="shared" si="46"/>
        <v>276109</v>
      </c>
      <c r="G138" s="141">
        <f t="shared" si="46"/>
        <v>29875119</v>
      </c>
    </row>
    <row r="140" spans="1:15" x14ac:dyDescent="0.25">
      <c r="A140" s="139" t="s">
        <v>80</v>
      </c>
      <c r="B140" s="127">
        <v>2019</v>
      </c>
      <c r="C140" s="126">
        <f>B140+1</f>
        <v>2020</v>
      </c>
      <c r="D140" s="126">
        <f t="shared" ref="D140" si="47">C140+1</f>
        <v>2021</v>
      </c>
      <c r="E140" s="126">
        <f t="shared" ref="E140" si="48">D140+1</f>
        <v>2022</v>
      </c>
      <c r="F140" s="126">
        <f t="shared" ref="F140" si="49">E140+1</f>
        <v>2023</v>
      </c>
      <c r="G140" s="126">
        <f t="shared" ref="G140" si="50">F140+1</f>
        <v>2024</v>
      </c>
      <c r="I140" s="126">
        <v>2025</v>
      </c>
      <c r="J140" s="126"/>
      <c r="K140" s="126"/>
      <c r="L140" s="126"/>
      <c r="M140" s="126"/>
      <c r="N140" s="126"/>
      <c r="O140" s="126"/>
    </row>
    <row r="142" spans="1:15" x14ac:dyDescent="0.25">
      <c r="A142" s="101" t="s">
        <v>81</v>
      </c>
      <c r="B142" s="142">
        <v>14759.3</v>
      </c>
      <c r="C142" s="142">
        <v>15809.1</v>
      </c>
      <c r="D142" s="142">
        <v>14693.1</v>
      </c>
      <c r="E142" s="142">
        <v>14353.1</v>
      </c>
      <c r="F142" s="142">
        <v>14143.4</v>
      </c>
      <c r="G142" s="101">
        <v>13798.4</v>
      </c>
      <c r="I142" s="142">
        <f>AVERAGE(B142:G142)</f>
        <v>14592.733333333332</v>
      </c>
    </row>
    <row r="143" spans="1:15" x14ac:dyDescent="0.25">
      <c r="A143" s="101" t="s">
        <v>82</v>
      </c>
      <c r="B143" s="142">
        <v>1422.6</v>
      </c>
      <c r="C143" s="142">
        <v>1945.6</v>
      </c>
      <c r="D143" s="142">
        <v>2408.5</v>
      </c>
      <c r="E143" s="142">
        <v>2222.5</v>
      </c>
      <c r="F143" s="142">
        <v>2046.8</v>
      </c>
      <c r="G143" s="101">
        <v>1983.7</v>
      </c>
      <c r="I143" s="142">
        <f>AVERAGE(B143:G143)</f>
        <v>2004.95</v>
      </c>
    </row>
    <row r="144" spans="1:15" x14ac:dyDescent="0.25">
      <c r="A144" s="101" t="s">
        <v>83</v>
      </c>
      <c r="B144" s="142">
        <f>B142+B143</f>
        <v>16181.9</v>
      </c>
      <c r="C144" s="142">
        <f t="shared" ref="C144:G144" si="51">C142+C143</f>
        <v>17754.7</v>
      </c>
      <c r="D144" s="142">
        <f t="shared" si="51"/>
        <v>17101.599999999999</v>
      </c>
      <c r="E144" s="142">
        <f t="shared" si="51"/>
        <v>16575.599999999999</v>
      </c>
      <c r="F144" s="142">
        <f t="shared" si="51"/>
        <v>16190.199999999999</v>
      </c>
      <c r="G144" s="142">
        <f t="shared" si="51"/>
        <v>15782.1</v>
      </c>
    </row>
    <row r="147" spans="1:7" x14ac:dyDescent="0.25">
      <c r="A147" s="139" t="s">
        <v>84</v>
      </c>
      <c r="B147" s="127">
        <v>2024</v>
      </c>
      <c r="C147" s="126"/>
      <c r="D147" s="126"/>
      <c r="E147" s="126"/>
      <c r="F147" s="126"/>
      <c r="G147" s="126"/>
    </row>
    <row r="148" spans="1:7" x14ac:dyDescent="0.25">
      <c r="A148" s="101" t="s">
        <v>85</v>
      </c>
      <c r="B148" s="142">
        <v>1953.2</v>
      </c>
    </row>
    <row r="149" spans="1:7" x14ac:dyDescent="0.25">
      <c r="A149" s="101" t="s">
        <v>86</v>
      </c>
      <c r="B149" s="101" t="s">
        <v>62</v>
      </c>
    </row>
    <row r="150" spans="1:7" x14ac:dyDescent="0.25">
      <c r="A150" s="101" t="s">
        <v>87</v>
      </c>
      <c r="B150" s="101" t="s">
        <v>62</v>
      </c>
    </row>
    <row r="151" spans="1:7" x14ac:dyDescent="0.25">
      <c r="A151" s="101" t="s">
        <v>88</v>
      </c>
      <c r="B151" s="101" t="s">
        <v>62</v>
      </c>
    </row>
    <row r="152" spans="1:7" x14ac:dyDescent="0.25">
      <c r="A152" s="101" t="s">
        <v>89</v>
      </c>
      <c r="B152" s="142">
        <v>1953.2</v>
      </c>
    </row>
    <row r="153" spans="1:7" x14ac:dyDescent="0.25">
      <c r="A153" s="101" t="s">
        <v>90</v>
      </c>
      <c r="B153" s="142">
        <v>13629.6</v>
      </c>
    </row>
    <row r="155" spans="1:7" x14ac:dyDescent="0.25">
      <c r="A155" s="101" t="s">
        <v>91</v>
      </c>
      <c r="B155" s="101" t="s">
        <v>62</v>
      </c>
    </row>
    <row r="157" spans="1:7" x14ac:dyDescent="0.25">
      <c r="A157" s="101" t="s">
        <v>92</v>
      </c>
      <c r="B157" s="101">
        <v>505.2</v>
      </c>
    </row>
    <row r="158" spans="1:7" x14ac:dyDescent="0.25">
      <c r="A158" s="101" t="s">
        <v>93</v>
      </c>
      <c r="B158" s="101">
        <v>477.3</v>
      </c>
    </row>
    <row r="159" spans="1:7" x14ac:dyDescent="0.25">
      <c r="A159" s="101" t="s">
        <v>94</v>
      </c>
      <c r="B159" s="101">
        <v>416</v>
      </c>
    </row>
    <row r="160" spans="1:7" x14ac:dyDescent="0.25">
      <c r="A160" s="101" t="s">
        <v>95</v>
      </c>
      <c r="B160" s="101">
        <v>345.9</v>
      </c>
    </row>
    <row r="161" spans="1:2" x14ac:dyDescent="0.25">
      <c r="A161" s="101" t="s">
        <v>96</v>
      </c>
      <c r="B161" s="101">
        <v>276.10000000000002</v>
      </c>
    </row>
    <row r="162" spans="1:2" x14ac:dyDescent="0.25">
      <c r="A162" s="101" t="s">
        <v>97</v>
      </c>
      <c r="B162" s="142">
        <v>2020.5</v>
      </c>
    </row>
    <row r="163" spans="1:2" x14ac:dyDescent="0.25">
      <c r="A163" s="101" t="s">
        <v>98</v>
      </c>
      <c r="B163" s="101">
        <v>696.4</v>
      </c>
    </row>
    <row r="165" spans="1:2" x14ac:dyDescent="0.25">
      <c r="A165" s="101" t="s">
        <v>99</v>
      </c>
      <c r="B165" s="142">
        <v>11424.7</v>
      </c>
    </row>
    <row r="166" spans="1:2" x14ac:dyDescent="0.25">
      <c r="A166" s="101" t="s">
        <v>100</v>
      </c>
      <c r="B166" s="101" t="s">
        <v>62</v>
      </c>
    </row>
    <row r="167" spans="1:2" x14ac:dyDescent="0.25">
      <c r="A167" s="101" t="s">
        <v>101</v>
      </c>
      <c r="B167" s="101" t="s">
        <v>62</v>
      </c>
    </row>
    <row r="168" spans="1:2" x14ac:dyDescent="0.25">
      <c r="A168" s="101" t="s">
        <v>102</v>
      </c>
      <c r="B168" s="101" t="s">
        <v>62</v>
      </c>
    </row>
    <row r="169" spans="1:2" x14ac:dyDescent="0.25">
      <c r="A169" s="101" t="s">
        <v>103</v>
      </c>
      <c r="B169" s="142">
        <v>11424.7</v>
      </c>
    </row>
    <row r="170" spans="1:2" x14ac:dyDescent="0.25">
      <c r="A170" s="101" t="s">
        <v>104</v>
      </c>
      <c r="B170" s="142">
        <v>11824.2</v>
      </c>
    </row>
    <row r="171" spans="1:2" x14ac:dyDescent="0.25">
      <c r="A171" s="101" t="s">
        <v>105</v>
      </c>
      <c r="B171" s="142">
        <v>23248.9</v>
      </c>
    </row>
    <row r="173" spans="1:2" x14ac:dyDescent="0.25">
      <c r="A173" s="101" t="s">
        <v>106</v>
      </c>
      <c r="B173" s="101" t="s">
        <v>107</v>
      </c>
    </row>
    <row r="174" spans="1:2" x14ac:dyDescent="0.25">
      <c r="A174" s="101" t="s">
        <v>108</v>
      </c>
    </row>
    <row r="182" spans="1:7" x14ac:dyDescent="0.25">
      <c r="A182" s="143" t="s">
        <v>109</v>
      </c>
      <c r="B182" s="144"/>
      <c r="C182" s="144"/>
      <c r="D182" s="144"/>
      <c r="E182" s="144"/>
      <c r="F182" s="144"/>
      <c r="G182" s="144"/>
    </row>
    <row r="183" spans="1:7" x14ac:dyDescent="0.25">
      <c r="A183" s="144"/>
      <c r="B183" s="144"/>
      <c r="C183" s="144"/>
      <c r="D183" s="144"/>
      <c r="E183" s="144"/>
      <c r="F183" s="144"/>
      <c r="G183" s="144"/>
    </row>
    <row r="184" spans="1:7" x14ac:dyDescent="0.25">
      <c r="A184" s="145" t="s">
        <v>110</v>
      </c>
      <c r="B184" s="146" t="s">
        <v>111</v>
      </c>
      <c r="C184" s="144" t="s">
        <v>112</v>
      </c>
      <c r="D184" s="147" t="s">
        <v>113</v>
      </c>
      <c r="E184" s="146" t="s">
        <v>114</v>
      </c>
      <c r="F184" s="144" t="s">
        <v>115</v>
      </c>
      <c r="G184" s="144"/>
    </row>
    <row r="185" spans="1:7" x14ac:dyDescent="0.25">
      <c r="A185" s="147"/>
      <c r="B185" s="146" t="s">
        <v>116</v>
      </c>
      <c r="C185" s="144" t="s">
        <v>117</v>
      </c>
      <c r="D185" s="147" t="s">
        <v>113</v>
      </c>
      <c r="E185" s="146" t="s">
        <v>118</v>
      </c>
      <c r="F185" s="144" t="s">
        <v>119</v>
      </c>
      <c r="G185" s="144"/>
    </row>
    <row r="186" spans="1:7" x14ac:dyDescent="0.25">
      <c r="A186" s="147"/>
      <c r="B186" s="146" t="s">
        <v>120</v>
      </c>
      <c r="C186" s="144" t="s">
        <v>121</v>
      </c>
      <c r="D186" s="147" t="s">
        <v>113</v>
      </c>
      <c r="E186" s="146" t="s">
        <v>122</v>
      </c>
      <c r="F186" s="144" t="s">
        <v>123</v>
      </c>
      <c r="G186" s="144"/>
    </row>
    <row r="187" spans="1:7" x14ac:dyDescent="0.25">
      <c r="A187" s="147"/>
      <c r="B187" s="146" t="s">
        <v>124</v>
      </c>
      <c r="C187" s="144" t="s">
        <v>125</v>
      </c>
      <c r="D187" s="147" t="s">
        <v>113</v>
      </c>
      <c r="E187" s="146" t="s">
        <v>126</v>
      </c>
      <c r="F187" s="148" t="s">
        <v>127</v>
      </c>
      <c r="G187" s="144"/>
    </row>
    <row r="192" spans="1:7" x14ac:dyDescent="0.25">
      <c r="A192" s="126"/>
      <c r="B192" s="128"/>
      <c r="C192" s="134"/>
      <c r="D192" s="134"/>
      <c r="E192" s="134"/>
      <c r="F192" s="134"/>
      <c r="G192" s="134"/>
    </row>
    <row r="193" spans="1:7" x14ac:dyDescent="0.25">
      <c r="A193" s="126"/>
      <c r="B193" s="128"/>
      <c r="C193" s="134"/>
      <c r="D193" s="134"/>
      <c r="E193" s="134"/>
      <c r="F193" s="134"/>
      <c r="G193" s="134"/>
    </row>
    <row r="194" spans="1:7" x14ac:dyDescent="0.25">
      <c r="A194" s="126"/>
      <c r="B194" s="128"/>
      <c r="C194" s="134"/>
      <c r="D194" s="134"/>
      <c r="E194" s="134"/>
      <c r="F194" s="134"/>
      <c r="G194" s="134"/>
    </row>
    <row r="195" spans="1:7" x14ac:dyDescent="0.25">
      <c r="A195" s="149" t="s">
        <v>128</v>
      </c>
      <c r="B195" s="149"/>
      <c r="C195" s="149"/>
      <c r="D195" s="149"/>
      <c r="E195" s="149"/>
      <c r="F195" s="149"/>
      <c r="G195" s="149"/>
    </row>
    <row r="196" spans="1:7" ht="31.5" x14ac:dyDescent="0.25">
      <c r="A196" s="150" t="s">
        <v>129</v>
      </c>
      <c r="B196" s="151" t="s">
        <v>130</v>
      </c>
      <c r="C196" s="151" t="s">
        <v>131</v>
      </c>
      <c r="D196" s="151" t="s">
        <v>132</v>
      </c>
      <c r="E196" s="151" t="s">
        <v>133</v>
      </c>
      <c r="F196" s="151" t="s">
        <v>134</v>
      </c>
      <c r="G196" s="151" t="s">
        <v>135</v>
      </c>
    </row>
    <row r="197" spans="1:7" x14ac:dyDescent="0.25">
      <c r="A197" s="152" t="s">
        <v>136</v>
      </c>
      <c r="B197" s="153" t="s">
        <v>137</v>
      </c>
      <c r="C197" s="153" t="s">
        <v>137</v>
      </c>
      <c r="D197" s="153" t="s">
        <v>137</v>
      </c>
      <c r="E197" s="153" t="s">
        <v>137</v>
      </c>
      <c r="F197" s="153" t="s">
        <v>137</v>
      </c>
      <c r="G197" s="153" t="s">
        <v>137</v>
      </c>
    </row>
    <row r="198" spans="1:7" x14ac:dyDescent="0.25">
      <c r="A198" s="154" t="s">
        <v>138</v>
      </c>
      <c r="B198" s="147"/>
      <c r="C198" s="147"/>
      <c r="D198" s="147"/>
      <c r="E198" s="147"/>
      <c r="F198" s="147"/>
      <c r="G198" s="147"/>
    </row>
    <row r="199" spans="1:7" x14ac:dyDescent="0.25">
      <c r="A199" s="147" t="s">
        <v>139</v>
      </c>
      <c r="B199" s="155">
        <v>20156.447</v>
      </c>
      <c r="C199" s="155">
        <v>24996.056</v>
      </c>
      <c r="D199" s="155">
        <v>29697.844000000001</v>
      </c>
      <c r="E199" s="155">
        <v>31615.55</v>
      </c>
      <c r="F199" s="155">
        <v>33723.296999999999</v>
      </c>
      <c r="G199" s="155">
        <v>39000.966</v>
      </c>
    </row>
    <row r="200" spans="1:7" x14ac:dyDescent="0.25">
      <c r="A200" s="154" t="s">
        <v>140</v>
      </c>
      <c r="B200" s="156">
        <v>20156.447</v>
      </c>
      <c r="C200" s="156">
        <v>24996.056</v>
      </c>
      <c r="D200" s="156">
        <v>29697.844000000001</v>
      </c>
      <c r="E200" s="156">
        <v>31615.55</v>
      </c>
      <c r="F200" s="156">
        <v>33723.296999999999</v>
      </c>
      <c r="G200" s="156">
        <v>39000.966</v>
      </c>
    </row>
    <row r="201" spans="1:7" x14ac:dyDescent="0.25">
      <c r="A201" s="147"/>
      <c r="B201" s="147"/>
      <c r="C201" s="147"/>
      <c r="D201" s="147"/>
      <c r="E201" s="147"/>
      <c r="F201" s="147"/>
      <c r="G201" s="147"/>
    </row>
    <row r="202" spans="1:7" x14ac:dyDescent="0.25">
      <c r="A202" s="147" t="s">
        <v>139</v>
      </c>
      <c r="B202" s="155">
        <v>2604.2539999999999</v>
      </c>
      <c r="C202" s="155"/>
      <c r="D202" s="155">
        <v>6194.509</v>
      </c>
      <c r="E202" s="155">
        <v>5632.8310000000001</v>
      </c>
      <c r="F202" s="155">
        <v>6954.0029999999997</v>
      </c>
      <c r="G202" s="155">
        <v>10417.614</v>
      </c>
    </row>
    <row r="203" spans="1:7" x14ac:dyDescent="0.25">
      <c r="A203" s="154" t="s">
        <v>141</v>
      </c>
      <c r="B203" s="156">
        <v>2604.2539999999999</v>
      </c>
      <c r="C203" s="156">
        <v>4585.2889999999998</v>
      </c>
      <c r="D203" s="156">
        <v>6194.509</v>
      </c>
      <c r="E203" s="156">
        <v>5632.8310000000001</v>
      </c>
      <c r="F203" s="156">
        <v>6954.0029999999997</v>
      </c>
      <c r="G203" s="156">
        <v>10417.614</v>
      </c>
    </row>
    <row r="204" spans="1:7" x14ac:dyDescent="0.25">
      <c r="A204" s="147"/>
      <c r="B204" s="147"/>
      <c r="C204" s="147"/>
      <c r="D204" s="147"/>
      <c r="E204" s="147"/>
      <c r="F204" s="147"/>
      <c r="G204" s="147"/>
    </row>
    <row r="205" spans="1:7" x14ac:dyDescent="0.25">
      <c r="A205" s="154" t="s">
        <v>49</v>
      </c>
      <c r="B205" s="147"/>
      <c r="C205" s="147"/>
      <c r="D205" s="147"/>
      <c r="E205" s="147"/>
      <c r="F205" s="147"/>
      <c r="G205" s="147"/>
    </row>
    <row r="206" spans="1:7" x14ac:dyDescent="0.25">
      <c r="A206" s="147" t="s">
        <v>139</v>
      </c>
      <c r="B206" s="155">
        <v>-626</v>
      </c>
      <c r="C206" s="155">
        <v>-767.5</v>
      </c>
      <c r="D206" s="155">
        <v>-765.6</v>
      </c>
      <c r="E206" s="155">
        <v>-706.2</v>
      </c>
      <c r="F206" s="155">
        <v>-699.8</v>
      </c>
      <c r="G206" s="155">
        <v>-718.7</v>
      </c>
    </row>
    <row r="207" spans="1:7" x14ac:dyDescent="0.25">
      <c r="A207" s="154" t="s">
        <v>142</v>
      </c>
      <c r="B207" s="156">
        <v>-626</v>
      </c>
      <c r="C207" s="156">
        <v>-767.5</v>
      </c>
      <c r="D207" s="156">
        <v>-765.6</v>
      </c>
      <c r="E207" s="156">
        <v>-706.2</v>
      </c>
      <c r="F207" s="156">
        <v>-699.8</v>
      </c>
      <c r="G207" s="156">
        <v>-718.7</v>
      </c>
    </row>
    <row r="208" spans="1:7" x14ac:dyDescent="0.25">
      <c r="A208" s="147"/>
      <c r="B208" s="147"/>
      <c r="C208" s="147"/>
      <c r="D208" s="147"/>
      <c r="E208" s="147"/>
      <c r="F208" s="147"/>
      <c r="G208" s="147"/>
    </row>
    <row r="209" spans="1:7" x14ac:dyDescent="0.25">
      <c r="A209" s="154" t="s">
        <v>143</v>
      </c>
      <c r="B209" s="147"/>
      <c r="C209" s="147"/>
      <c r="D209" s="147"/>
      <c r="E209" s="147"/>
      <c r="F209" s="147"/>
      <c r="G209" s="147"/>
    </row>
    <row r="210" spans="1:7" x14ac:dyDescent="0.25">
      <c r="A210" s="147" t="s">
        <v>139</v>
      </c>
      <c r="B210" s="155">
        <v>2062.2310000000002</v>
      </c>
      <c r="C210" s="155">
        <v>3199.3490000000002</v>
      </c>
      <c r="D210" s="155">
        <v>5840.1030000000001</v>
      </c>
      <c r="E210" s="155">
        <v>5263.9290000000001</v>
      </c>
      <c r="F210" s="155">
        <v>6205.4049999999997</v>
      </c>
      <c r="G210" s="155">
        <v>9965.6569999999992</v>
      </c>
    </row>
    <row r="211" spans="1:7" x14ac:dyDescent="0.25">
      <c r="A211" s="154" t="s">
        <v>144</v>
      </c>
      <c r="B211" s="156">
        <v>2062.2310000000002</v>
      </c>
      <c r="C211" s="156">
        <v>3199.3490000000002</v>
      </c>
      <c r="D211" s="156">
        <v>5840.1030000000001</v>
      </c>
      <c r="E211" s="156">
        <v>5263.9290000000001</v>
      </c>
      <c r="F211" s="156">
        <v>6205.4049999999997</v>
      </c>
      <c r="G211" s="156">
        <v>9965.6569999999992</v>
      </c>
    </row>
    <row r="212" spans="1:7" x14ac:dyDescent="0.25">
      <c r="A212" s="147"/>
      <c r="B212" s="147"/>
      <c r="C212" s="147"/>
      <c r="D212" s="147"/>
      <c r="E212" s="147"/>
      <c r="F212" s="147"/>
      <c r="G212" s="147"/>
    </row>
    <row r="213" spans="1:7" x14ac:dyDescent="0.25">
      <c r="A213" s="154" t="s">
        <v>145</v>
      </c>
      <c r="B213" s="147"/>
      <c r="C213" s="147"/>
      <c r="D213" s="147"/>
      <c r="E213" s="147"/>
      <c r="F213" s="147"/>
      <c r="G213" s="147"/>
    </row>
    <row r="214" spans="1:7" x14ac:dyDescent="0.25">
      <c r="A214" s="147" t="s">
        <v>139</v>
      </c>
      <c r="B214" s="155">
        <v>195.315</v>
      </c>
      <c r="C214" s="155">
        <v>437.95400000000001</v>
      </c>
      <c r="D214" s="155">
        <v>723.875</v>
      </c>
      <c r="E214" s="155">
        <v>772.005</v>
      </c>
      <c r="F214" s="155">
        <v>797.41499999999996</v>
      </c>
      <c r="G214" s="155">
        <v>1254.0260000000001</v>
      </c>
    </row>
    <row r="215" spans="1:7" x14ac:dyDescent="0.25">
      <c r="A215" s="154" t="s">
        <v>146</v>
      </c>
      <c r="B215" s="156">
        <v>195.315</v>
      </c>
      <c r="C215" s="156">
        <v>437.95400000000001</v>
      </c>
      <c r="D215" s="156">
        <v>723.875</v>
      </c>
      <c r="E215" s="156">
        <v>772.005</v>
      </c>
      <c r="F215" s="156">
        <v>797.41499999999996</v>
      </c>
      <c r="G215" s="156">
        <v>1254.0260000000001</v>
      </c>
    </row>
    <row r="216" spans="1:7" x14ac:dyDescent="0.25">
      <c r="A216" s="147"/>
      <c r="B216" s="147"/>
      <c r="C216" s="147"/>
      <c r="D216" s="147"/>
      <c r="E216" s="147"/>
      <c r="F216" s="147"/>
      <c r="G216" s="147"/>
    </row>
    <row r="217" spans="1:7" x14ac:dyDescent="0.25">
      <c r="A217" s="154" t="s">
        <v>147</v>
      </c>
      <c r="B217" s="147"/>
      <c r="C217" s="147"/>
      <c r="D217" s="147"/>
      <c r="E217" s="147"/>
      <c r="F217" s="147"/>
      <c r="G217" s="147"/>
    </row>
    <row r="218" spans="1:7" x14ac:dyDescent="0.25">
      <c r="A218" s="147" t="s">
        <v>139</v>
      </c>
      <c r="B218" s="155">
        <v>1866.9159999999999</v>
      </c>
      <c r="C218" s="155">
        <v>2761.395</v>
      </c>
      <c r="D218" s="155">
        <v>5116.2280000000001</v>
      </c>
      <c r="E218" s="155">
        <v>4491.924</v>
      </c>
      <c r="F218" s="155">
        <v>5407.99</v>
      </c>
      <c r="G218" s="155">
        <v>8711.6309999999994</v>
      </c>
    </row>
    <row r="219" spans="1:7" x14ac:dyDescent="0.25">
      <c r="A219" s="154" t="s">
        <v>148</v>
      </c>
      <c r="B219" s="156">
        <v>1866.9159999999999</v>
      </c>
      <c r="C219" s="156">
        <v>2761.395</v>
      </c>
      <c r="D219" s="156">
        <v>5116.2280000000001</v>
      </c>
      <c r="E219" s="156">
        <v>4491.924</v>
      </c>
      <c r="F219" s="156">
        <v>5407.99</v>
      </c>
      <c r="G219" s="156">
        <v>8711.6309999999994</v>
      </c>
    </row>
    <row r="220" spans="1:7" x14ac:dyDescent="0.25">
      <c r="A220" s="147"/>
      <c r="B220" s="147"/>
      <c r="C220" s="147"/>
      <c r="D220" s="147"/>
      <c r="E220" s="147"/>
      <c r="F220" s="147"/>
      <c r="G220" s="147"/>
    </row>
    <row r="221" spans="1:7" x14ac:dyDescent="0.25">
      <c r="A221" s="154" t="s">
        <v>149</v>
      </c>
      <c r="B221" s="147"/>
      <c r="C221" s="147"/>
      <c r="D221" s="147"/>
      <c r="E221" s="147"/>
      <c r="F221" s="147"/>
      <c r="G221" s="147"/>
    </row>
    <row r="222" spans="1:7" x14ac:dyDescent="0.25">
      <c r="A222" s="147" t="s">
        <v>139</v>
      </c>
      <c r="B222" s="155">
        <v>33975.712</v>
      </c>
      <c r="C222" s="155">
        <v>39280.358999999997</v>
      </c>
      <c r="D222" s="155">
        <v>44584.663</v>
      </c>
      <c r="E222" s="155">
        <v>48594.767999999996</v>
      </c>
      <c r="F222" s="155">
        <v>48731.991999999998</v>
      </c>
      <c r="G222" s="155">
        <v>53630.374000000003</v>
      </c>
    </row>
    <row r="223" spans="1:7" x14ac:dyDescent="0.25">
      <c r="A223" s="154" t="s">
        <v>150</v>
      </c>
      <c r="B223" s="156">
        <v>33975.712</v>
      </c>
      <c r="C223" s="156">
        <v>39280.358999999997</v>
      </c>
      <c r="D223" s="156">
        <v>44584.663</v>
      </c>
      <c r="E223" s="156">
        <v>48594.767999999996</v>
      </c>
      <c r="F223" s="156">
        <v>48731.991999999998</v>
      </c>
      <c r="G223" s="156">
        <v>53630.374000000003</v>
      </c>
    </row>
    <row r="224" spans="1:7" x14ac:dyDescent="0.25">
      <c r="A224" s="147"/>
      <c r="B224" s="147"/>
      <c r="C224" s="147"/>
      <c r="D224" s="147"/>
      <c r="E224" s="147"/>
      <c r="F224" s="147"/>
      <c r="G224" s="147"/>
    </row>
    <row r="225" spans="1:7" x14ac:dyDescent="0.25">
      <c r="A225" s="154" t="s">
        <v>151</v>
      </c>
      <c r="B225" s="147"/>
      <c r="C225" s="147"/>
      <c r="D225" s="147"/>
      <c r="E225" s="147"/>
      <c r="F225" s="147"/>
      <c r="G225" s="147"/>
    </row>
    <row r="226" spans="1:7" x14ac:dyDescent="0.25">
      <c r="A226" s="147" t="s">
        <v>139</v>
      </c>
      <c r="B226" s="155">
        <v>103.57899999999999</v>
      </c>
      <c r="C226" s="155">
        <v>115.71</v>
      </c>
      <c r="D226" s="155">
        <v>208.41200000000001</v>
      </c>
      <c r="E226" s="155">
        <v>336.68200000000002</v>
      </c>
      <c r="F226" s="155">
        <v>356.947</v>
      </c>
      <c r="G226" s="155">
        <v>328.91399999999999</v>
      </c>
    </row>
    <row r="227" spans="1:7" x14ac:dyDescent="0.25">
      <c r="A227" s="154" t="s">
        <v>152</v>
      </c>
      <c r="B227" s="156">
        <v>103.57899999999999</v>
      </c>
      <c r="C227" s="156">
        <v>115.71</v>
      </c>
      <c r="D227" s="156">
        <v>208.41200000000001</v>
      </c>
      <c r="E227" s="156">
        <v>336.68200000000002</v>
      </c>
      <c r="F227" s="156">
        <v>356.947</v>
      </c>
      <c r="G227" s="156">
        <v>328.91399999999999</v>
      </c>
    </row>
    <row r="228" spans="1:7" x14ac:dyDescent="0.25">
      <c r="A228" s="147"/>
      <c r="B228" s="147"/>
      <c r="C228" s="147"/>
      <c r="D228" s="147"/>
      <c r="E228" s="147"/>
      <c r="F228" s="147"/>
      <c r="G228" s="147"/>
    </row>
    <row r="229" spans="1:7" x14ac:dyDescent="0.25">
      <c r="A229" s="154" t="s">
        <v>153</v>
      </c>
      <c r="B229" s="147"/>
      <c r="C229" s="147"/>
      <c r="D229" s="147"/>
      <c r="E229" s="147"/>
      <c r="F229" s="147"/>
      <c r="G229" s="147"/>
    </row>
    <row r="230" spans="1:7" x14ac:dyDescent="0.25">
      <c r="A230" s="147" t="s">
        <v>139</v>
      </c>
      <c r="B230" s="155">
        <v>-253</v>
      </c>
      <c r="C230" s="155">
        <v>-497.9</v>
      </c>
      <c r="D230" s="155">
        <v>-524.6</v>
      </c>
      <c r="E230" s="155">
        <v>-407.7</v>
      </c>
      <c r="F230" s="155">
        <v>-348.6</v>
      </c>
      <c r="G230" s="155">
        <v>-439.5</v>
      </c>
    </row>
    <row r="231" spans="1:7" x14ac:dyDescent="0.25">
      <c r="A231" s="154" t="s">
        <v>154</v>
      </c>
      <c r="B231" s="156">
        <v>-253</v>
      </c>
      <c r="C231" s="156">
        <v>-497.9</v>
      </c>
      <c r="D231" s="156">
        <v>-524.6</v>
      </c>
      <c r="E231" s="156">
        <v>-407.7</v>
      </c>
      <c r="F231" s="156">
        <v>-348.6</v>
      </c>
      <c r="G231" s="156">
        <v>-439.5</v>
      </c>
    </row>
    <row r="232" spans="1:7" x14ac:dyDescent="0.25">
      <c r="A232" s="147"/>
      <c r="B232" s="147"/>
      <c r="C232" s="147"/>
      <c r="D232" s="147"/>
      <c r="E232" s="147"/>
      <c r="F232" s="147"/>
      <c r="G232" s="147"/>
    </row>
    <row r="233" spans="1:7" x14ac:dyDescent="0.25">
      <c r="A233" s="147"/>
      <c r="B233" s="147" t="s">
        <v>155</v>
      </c>
      <c r="C233" s="147" t="s">
        <v>155</v>
      </c>
      <c r="D233" s="147" t="s">
        <v>155</v>
      </c>
      <c r="E233" s="147" t="s">
        <v>155</v>
      </c>
      <c r="F233" s="147" t="s">
        <v>155</v>
      </c>
      <c r="G233" s="147" t="s">
        <v>155</v>
      </c>
    </row>
    <row r="234" spans="1:7" x14ac:dyDescent="0.25">
      <c r="A234" s="147" t="s">
        <v>108</v>
      </c>
      <c r="B234" s="157">
        <v>44588</v>
      </c>
      <c r="C234" s="157">
        <v>44588</v>
      </c>
      <c r="D234" s="157">
        <v>45317</v>
      </c>
      <c r="E234" s="157">
        <v>45684</v>
      </c>
      <c r="F234" s="157">
        <v>45684</v>
      </c>
      <c r="G234" s="157">
        <v>45684</v>
      </c>
    </row>
    <row r="238" spans="1:7" x14ac:dyDescent="0.25">
      <c r="A238" s="149" t="s">
        <v>156</v>
      </c>
      <c r="B238" s="149"/>
      <c r="C238" s="149"/>
      <c r="D238" s="149"/>
      <c r="E238" s="149"/>
      <c r="F238" s="149"/>
      <c r="G238" s="149"/>
    </row>
    <row r="239" spans="1:7" ht="31.5" x14ac:dyDescent="0.25">
      <c r="A239" s="150" t="s">
        <v>129</v>
      </c>
      <c r="B239" s="151" t="s">
        <v>130</v>
      </c>
      <c r="C239" s="151" t="s">
        <v>131</v>
      </c>
      <c r="D239" s="151" t="s">
        <v>132</v>
      </c>
      <c r="E239" s="151" t="s">
        <v>133</v>
      </c>
      <c r="F239" s="151" t="s">
        <v>134</v>
      </c>
      <c r="G239" s="151" t="s">
        <v>135</v>
      </c>
    </row>
    <row r="240" spans="1:7" x14ac:dyDescent="0.25">
      <c r="A240" s="152" t="s">
        <v>136</v>
      </c>
      <c r="B240" s="153" t="s">
        <v>137</v>
      </c>
      <c r="C240" s="153" t="s">
        <v>137</v>
      </c>
      <c r="D240" s="153" t="s">
        <v>137</v>
      </c>
      <c r="E240" s="153" t="s">
        <v>137</v>
      </c>
      <c r="F240" s="153" t="s">
        <v>137</v>
      </c>
      <c r="G240" s="153" t="s">
        <v>137</v>
      </c>
    </row>
    <row r="241" spans="1:7" x14ac:dyDescent="0.25">
      <c r="A241" s="154" t="s">
        <v>138</v>
      </c>
      <c r="B241" s="147"/>
      <c r="C241" s="147"/>
      <c r="D241" s="147"/>
      <c r="E241" s="147"/>
      <c r="F241" s="147"/>
      <c r="G241" s="147"/>
    </row>
    <row r="242" spans="1:7" x14ac:dyDescent="0.25">
      <c r="A242" s="147" t="s">
        <v>157</v>
      </c>
      <c r="B242" s="155">
        <v>10051.208000000001</v>
      </c>
      <c r="C242" s="155">
        <v>11455.396000000001</v>
      </c>
      <c r="D242" s="155">
        <v>12972.1</v>
      </c>
      <c r="E242" s="155">
        <v>14084.643</v>
      </c>
      <c r="F242" s="155">
        <v>14873.782999999999</v>
      </c>
      <c r="G242" s="155">
        <v>17359.368999999999</v>
      </c>
    </row>
    <row r="243" spans="1:7" x14ac:dyDescent="0.25">
      <c r="A243" s="147" t="s">
        <v>158</v>
      </c>
      <c r="B243" s="155">
        <v>5543.067</v>
      </c>
      <c r="C243" s="155">
        <v>7772.2520000000004</v>
      </c>
      <c r="D243" s="155">
        <v>9699.8189999999995</v>
      </c>
      <c r="E243" s="155">
        <v>9745.0149999999994</v>
      </c>
      <c r="F243" s="155">
        <v>10556.486999999999</v>
      </c>
      <c r="G243" s="155">
        <v>12387.035</v>
      </c>
    </row>
    <row r="244" spans="1:7" x14ac:dyDescent="0.25">
      <c r="A244" s="147" t="s">
        <v>159</v>
      </c>
      <c r="B244" s="155">
        <v>2795.4340000000002</v>
      </c>
      <c r="C244" s="155">
        <v>3156.7269999999999</v>
      </c>
      <c r="D244" s="155">
        <v>3576.9760000000001</v>
      </c>
      <c r="E244" s="155">
        <v>4069.973</v>
      </c>
      <c r="F244" s="155">
        <v>4446.4610000000002</v>
      </c>
      <c r="G244" s="155">
        <v>4839.8159999999998</v>
      </c>
    </row>
    <row r="245" spans="1:7" x14ac:dyDescent="0.25">
      <c r="A245" s="147" t="s">
        <v>160</v>
      </c>
      <c r="B245" s="155">
        <v>1469.521</v>
      </c>
      <c r="C245" s="155">
        <v>2372.3000000000002</v>
      </c>
      <c r="D245" s="155">
        <v>3266.6010000000001</v>
      </c>
      <c r="E245" s="155">
        <v>3570.221</v>
      </c>
      <c r="F245" s="155">
        <v>3763.7269999999999</v>
      </c>
      <c r="G245" s="155">
        <v>4414.7460000000001</v>
      </c>
    </row>
    <row r="246" spans="1:7" x14ac:dyDescent="0.25">
      <c r="A246" s="154" t="s">
        <v>140</v>
      </c>
      <c r="B246" s="156">
        <v>19859.23</v>
      </c>
      <c r="C246" s="156">
        <v>24756.674999999999</v>
      </c>
      <c r="D246" s="156">
        <v>29515.495999999999</v>
      </c>
      <c r="E246" s="156">
        <v>31469.851999999999</v>
      </c>
      <c r="F246" s="156">
        <v>33640.457999999999</v>
      </c>
      <c r="G246" s="156">
        <v>39000.966</v>
      </c>
    </row>
    <row r="247" spans="1:7" x14ac:dyDescent="0.25">
      <c r="A247" s="147"/>
      <c r="B247" s="147"/>
      <c r="C247" s="147"/>
      <c r="D247" s="147"/>
      <c r="E247" s="147"/>
      <c r="F247" s="147"/>
      <c r="G247" s="147"/>
    </row>
    <row r="248" spans="1:7" x14ac:dyDescent="0.25">
      <c r="A248" s="154" t="s">
        <v>149</v>
      </c>
      <c r="B248" s="147"/>
      <c r="C248" s="147"/>
      <c r="D248" s="147"/>
      <c r="E248" s="147"/>
      <c r="F248" s="147"/>
      <c r="G248" s="147"/>
    </row>
    <row r="249" spans="1:7" x14ac:dyDescent="0.25">
      <c r="A249" s="147" t="s">
        <v>161</v>
      </c>
      <c r="B249" s="155">
        <v>1503.4590000000001</v>
      </c>
      <c r="C249" s="155">
        <v>2224.8910000000001</v>
      </c>
      <c r="D249" s="155">
        <v>2833.0590000000002</v>
      </c>
      <c r="E249" s="155">
        <v>2745.0709999999999</v>
      </c>
      <c r="F249" s="155">
        <v>2724.71</v>
      </c>
      <c r="G249" s="155">
        <v>2769.828</v>
      </c>
    </row>
    <row r="250" spans="1:7" x14ac:dyDescent="0.25">
      <c r="A250" s="147" t="s">
        <v>162</v>
      </c>
      <c r="B250" s="155">
        <v>594.04700000000003</v>
      </c>
      <c r="C250" s="155">
        <v>773.01800000000003</v>
      </c>
      <c r="D250" s="155">
        <v>936.96699999999998</v>
      </c>
      <c r="E250" s="155">
        <v>880.30799999999999</v>
      </c>
      <c r="F250" s="155">
        <v>843.63300000000004</v>
      </c>
      <c r="G250" s="155">
        <v>926.23800000000006</v>
      </c>
    </row>
    <row r="251" spans="1:7" x14ac:dyDescent="0.25">
      <c r="A251" s="154" t="s">
        <v>155</v>
      </c>
      <c r="B251" s="156">
        <v>2097.5059999999999</v>
      </c>
      <c r="C251" s="156">
        <v>2997.9090000000001</v>
      </c>
      <c r="D251" s="156">
        <v>3770.0259999999998</v>
      </c>
      <c r="E251" s="156">
        <v>3625.3789999999999</v>
      </c>
      <c r="F251" s="156">
        <v>3568.3429999999998</v>
      </c>
      <c r="G251" s="156">
        <v>3696.0659999999998</v>
      </c>
    </row>
    <row r="252" spans="1:7" x14ac:dyDescent="0.25">
      <c r="A252" s="147"/>
      <c r="B252" s="147"/>
      <c r="C252" s="147"/>
      <c r="D252" s="147"/>
      <c r="E252" s="147"/>
      <c r="F252" s="147"/>
      <c r="G252" s="147"/>
    </row>
    <row r="253" spans="1:7" x14ac:dyDescent="0.25">
      <c r="A253" s="147"/>
      <c r="B253" s="147" t="s">
        <v>155</v>
      </c>
      <c r="C253" s="147" t="s">
        <v>155</v>
      </c>
      <c r="D253" s="147" t="s">
        <v>155</v>
      </c>
      <c r="E253" s="147" t="s">
        <v>155</v>
      </c>
      <c r="F253" s="147" t="s">
        <v>155</v>
      </c>
      <c r="G253" s="147" t="s">
        <v>155</v>
      </c>
    </row>
    <row r="256" spans="1:7" x14ac:dyDescent="0.25">
      <c r="A256" s="143" t="s">
        <v>163</v>
      </c>
      <c r="B256" s="144"/>
      <c r="C256" s="144"/>
      <c r="D256" s="144"/>
      <c r="E256" s="144"/>
      <c r="F256" s="144"/>
      <c r="G256" s="144"/>
    </row>
    <row r="257" spans="1:8" x14ac:dyDescent="0.25">
      <c r="A257" s="144"/>
      <c r="B257" s="144"/>
      <c r="C257" s="144"/>
      <c r="D257" s="144"/>
      <c r="E257" s="144"/>
      <c r="F257" s="144"/>
      <c r="G257" s="144"/>
    </row>
    <row r="258" spans="1:8" x14ac:dyDescent="0.25">
      <c r="A258" s="145" t="s">
        <v>164</v>
      </c>
      <c r="B258" s="146" t="s">
        <v>165</v>
      </c>
      <c r="C258" s="144" t="s">
        <v>166</v>
      </c>
      <c r="D258" s="147" t="s">
        <v>113</v>
      </c>
      <c r="E258" s="146" t="s">
        <v>114</v>
      </c>
      <c r="F258" s="144" t="s">
        <v>115</v>
      </c>
      <c r="G258" s="144"/>
    </row>
    <row r="259" spans="1:8" x14ac:dyDescent="0.25">
      <c r="A259" s="147"/>
      <c r="B259" s="146" t="s">
        <v>116</v>
      </c>
      <c r="C259" s="144" t="s">
        <v>117</v>
      </c>
      <c r="D259" s="147" t="s">
        <v>113</v>
      </c>
      <c r="E259" s="146" t="s">
        <v>118</v>
      </c>
      <c r="F259" s="144" t="s">
        <v>119</v>
      </c>
      <c r="G259" s="144"/>
    </row>
    <row r="260" spans="1:8" x14ac:dyDescent="0.25">
      <c r="A260" s="147"/>
      <c r="B260" s="146" t="s">
        <v>120</v>
      </c>
      <c r="C260" s="144" t="s">
        <v>121</v>
      </c>
      <c r="D260" s="147" t="s">
        <v>113</v>
      </c>
      <c r="E260" s="146" t="s">
        <v>122</v>
      </c>
      <c r="F260" s="144" t="s">
        <v>123</v>
      </c>
      <c r="G260" s="144"/>
    </row>
    <row r="261" spans="1:8" x14ac:dyDescent="0.25">
      <c r="A261" s="147"/>
      <c r="B261" s="146" t="s">
        <v>124</v>
      </c>
      <c r="C261" s="144" t="s">
        <v>125</v>
      </c>
      <c r="D261" s="147" t="s">
        <v>113</v>
      </c>
      <c r="E261" s="146" t="s">
        <v>126</v>
      </c>
      <c r="F261" s="148" t="s">
        <v>127</v>
      </c>
      <c r="G261" s="144"/>
    </row>
    <row r="262" spans="1:8" x14ac:dyDescent="0.25">
      <c r="A262" s="147"/>
      <c r="B262" s="146" t="s">
        <v>167</v>
      </c>
      <c r="C262" s="144" t="s">
        <v>168</v>
      </c>
      <c r="D262" s="147" t="s">
        <v>113</v>
      </c>
      <c r="E262" s="158"/>
      <c r="F262" s="158"/>
      <c r="G262" s="144"/>
    </row>
    <row r="263" spans="1:8" x14ac:dyDescent="0.25">
      <c r="A263" s="144"/>
      <c r="B263" s="144"/>
      <c r="C263" s="144"/>
      <c r="D263" s="144"/>
      <c r="E263" s="144"/>
      <c r="F263" s="144"/>
      <c r="G263" s="144"/>
    </row>
    <row r="264" spans="1:8" x14ac:dyDescent="0.25">
      <c r="A264" s="144"/>
      <c r="B264" s="144"/>
      <c r="C264" s="144"/>
      <c r="D264" s="144"/>
      <c r="E264" s="144"/>
      <c r="F264" s="144"/>
      <c r="G264" s="144"/>
    </row>
    <row r="265" spans="1:8" x14ac:dyDescent="0.25">
      <c r="A265" s="149" t="s">
        <v>169</v>
      </c>
      <c r="B265" s="149"/>
      <c r="C265" s="149"/>
      <c r="D265" s="149"/>
      <c r="E265" s="149"/>
      <c r="F265" s="149"/>
      <c r="G265" s="149"/>
      <c r="H265" s="149"/>
    </row>
    <row r="266" spans="1:8" ht="47.25" x14ac:dyDescent="0.25">
      <c r="A266" s="150" t="s">
        <v>129</v>
      </c>
      <c r="B266" s="151" t="s">
        <v>130</v>
      </c>
      <c r="C266" s="151" t="s">
        <v>131</v>
      </c>
      <c r="D266" s="151" t="s">
        <v>132</v>
      </c>
      <c r="E266" s="151" t="s">
        <v>133</v>
      </c>
      <c r="F266" s="151" t="s">
        <v>134</v>
      </c>
      <c r="G266" s="151" t="s">
        <v>135</v>
      </c>
      <c r="H266" s="151" t="s">
        <v>170</v>
      </c>
    </row>
    <row r="267" spans="1:8" x14ac:dyDescent="0.25">
      <c r="A267" s="152" t="s">
        <v>136</v>
      </c>
      <c r="B267" s="153" t="s">
        <v>137</v>
      </c>
      <c r="C267" s="153" t="s">
        <v>137</v>
      </c>
      <c r="D267" s="153" t="s">
        <v>137</v>
      </c>
      <c r="E267" s="153" t="s">
        <v>137</v>
      </c>
      <c r="F267" s="153" t="s">
        <v>137</v>
      </c>
      <c r="G267" s="153" t="s">
        <v>137</v>
      </c>
      <c r="H267" s="153" t="s">
        <v>137</v>
      </c>
    </row>
    <row r="268" spans="1:8" x14ac:dyDescent="0.25">
      <c r="A268" s="154" t="s">
        <v>155</v>
      </c>
      <c r="B268" s="147"/>
      <c r="C268" s="147"/>
      <c r="D268" s="147"/>
      <c r="E268" s="147"/>
      <c r="F268" s="147"/>
      <c r="G268" s="147"/>
      <c r="H268" s="147"/>
    </row>
    <row r="269" spans="1:8" x14ac:dyDescent="0.25">
      <c r="A269" s="147" t="s">
        <v>28</v>
      </c>
      <c r="B269" s="155">
        <v>20156.447</v>
      </c>
      <c r="C269" s="155">
        <v>24996.056</v>
      </c>
      <c r="D269" s="155">
        <v>29697.844000000001</v>
      </c>
      <c r="E269" s="155">
        <v>31615.55</v>
      </c>
      <c r="F269" s="155">
        <v>33723.296999999999</v>
      </c>
      <c r="G269" s="155">
        <v>39000.966</v>
      </c>
      <c r="H269" s="155">
        <v>43378.786999999997</v>
      </c>
    </row>
    <row r="270" spans="1:8" x14ac:dyDescent="0.25">
      <c r="A270" s="147" t="s">
        <v>171</v>
      </c>
      <c r="B270" s="155" t="s">
        <v>62</v>
      </c>
      <c r="C270" s="155" t="s">
        <v>62</v>
      </c>
      <c r="D270" s="155" t="s">
        <v>62</v>
      </c>
      <c r="E270" s="155" t="s">
        <v>62</v>
      </c>
      <c r="F270" s="155" t="s">
        <v>62</v>
      </c>
      <c r="G270" s="155" t="s">
        <v>62</v>
      </c>
      <c r="H270" s="155" t="s">
        <v>62</v>
      </c>
    </row>
    <row r="271" spans="1:8" x14ac:dyDescent="0.25">
      <c r="A271" s="154" t="s">
        <v>172</v>
      </c>
      <c r="B271" s="323">
        <v>20156.447</v>
      </c>
      <c r="C271" s="323">
        <v>24996.056</v>
      </c>
      <c r="D271" s="323">
        <v>29697.844000000001</v>
      </c>
      <c r="E271" s="323">
        <v>31615.55</v>
      </c>
      <c r="F271" s="323">
        <v>33723.296999999999</v>
      </c>
      <c r="G271" s="323">
        <v>39000.966</v>
      </c>
      <c r="H271" s="323">
        <v>43378.786999999997</v>
      </c>
    </row>
    <row r="272" spans="1:8" x14ac:dyDescent="0.25">
      <c r="A272" s="147"/>
      <c r="B272" s="147"/>
      <c r="C272" s="147"/>
      <c r="D272" s="147"/>
      <c r="E272" s="147"/>
      <c r="F272" s="147"/>
      <c r="G272" s="147"/>
      <c r="H272" s="147"/>
    </row>
    <row r="273" spans="1:16" x14ac:dyDescent="0.25">
      <c r="A273" s="147" t="s">
        <v>173</v>
      </c>
      <c r="B273" s="155">
        <v>12440.213</v>
      </c>
      <c r="C273" s="155">
        <v>15276.319</v>
      </c>
      <c r="D273" s="155">
        <v>17332.683000000001</v>
      </c>
      <c r="E273" s="155">
        <v>19168.285</v>
      </c>
      <c r="F273" s="155">
        <v>19715.367999999999</v>
      </c>
      <c r="G273" s="155">
        <v>21038.464</v>
      </c>
      <c r="H273" s="155">
        <v>22520.072</v>
      </c>
    </row>
    <row r="274" spans="1:16" x14ac:dyDescent="0.25">
      <c r="A274" s="154" t="s">
        <v>174</v>
      </c>
      <c r="B274" s="323">
        <v>7716.2340000000004</v>
      </c>
      <c r="C274" s="323">
        <v>9719.7369999999992</v>
      </c>
      <c r="D274" s="323">
        <v>12365.161</v>
      </c>
      <c r="E274" s="323">
        <v>12447.264999999999</v>
      </c>
      <c r="F274" s="323">
        <v>14007.929</v>
      </c>
      <c r="G274" s="323">
        <v>17962.502</v>
      </c>
      <c r="H274" s="323">
        <v>20858.715</v>
      </c>
    </row>
    <row r="275" spans="1:16" x14ac:dyDescent="0.25">
      <c r="A275" s="147"/>
      <c r="B275" s="147"/>
      <c r="C275" s="147"/>
      <c r="D275" s="147"/>
      <c r="E275" s="147"/>
      <c r="F275" s="147"/>
      <c r="G275" s="147"/>
      <c r="H275" s="147"/>
    </row>
    <row r="276" spans="1:16" x14ac:dyDescent="0.25">
      <c r="A276" s="147" t="s">
        <v>175</v>
      </c>
      <c r="B276" s="155">
        <v>3566.8310000000001</v>
      </c>
      <c r="C276" s="155">
        <v>3304.848</v>
      </c>
      <c r="D276" s="155">
        <v>3896.7669999999998</v>
      </c>
      <c r="E276" s="155">
        <v>4103.393</v>
      </c>
      <c r="F276" s="155">
        <v>4378.1679999999997</v>
      </c>
      <c r="G276" s="155">
        <v>4619.5929999999998</v>
      </c>
      <c r="H276" s="155">
        <v>4938.4139999999998</v>
      </c>
    </row>
    <row r="277" spans="1:16" x14ac:dyDescent="0.25">
      <c r="A277" s="147" t="s">
        <v>176</v>
      </c>
      <c r="B277" s="155">
        <v>1545.1489999999999</v>
      </c>
      <c r="C277" s="155">
        <v>1829.6</v>
      </c>
      <c r="D277" s="155">
        <v>2273.8850000000002</v>
      </c>
      <c r="E277" s="155">
        <v>2711.0410000000002</v>
      </c>
      <c r="F277" s="155">
        <v>2675.7579999999998</v>
      </c>
      <c r="G277" s="155">
        <v>2925.2950000000001</v>
      </c>
      <c r="H277" s="155">
        <v>3277.5949999999998</v>
      </c>
    </row>
    <row r="278" spans="1:16" x14ac:dyDescent="0.25">
      <c r="A278" s="147" t="s">
        <v>177</v>
      </c>
      <c r="B278" s="155" t="s">
        <v>62</v>
      </c>
      <c r="C278" s="155" t="s">
        <v>62</v>
      </c>
      <c r="D278" s="155" t="s">
        <v>62</v>
      </c>
      <c r="E278" s="155" t="s">
        <v>62</v>
      </c>
      <c r="F278" s="155" t="s">
        <v>62</v>
      </c>
      <c r="G278" s="155" t="s">
        <v>62</v>
      </c>
      <c r="H278" s="155" t="s">
        <v>62</v>
      </c>
    </row>
    <row r="279" spans="1:16" x14ac:dyDescent="0.25">
      <c r="A279" s="147" t="s">
        <v>178</v>
      </c>
      <c r="B279" s="155" t="s">
        <v>62</v>
      </c>
      <c r="C279" s="155" t="s">
        <v>62</v>
      </c>
      <c r="D279" s="155" t="s">
        <v>62</v>
      </c>
      <c r="E279" s="155" t="s">
        <v>62</v>
      </c>
      <c r="F279" s="155" t="s">
        <v>62</v>
      </c>
      <c r="G279" s="155" t="s">
        <v>62</v>
      </c>
      <c r="H279" s="155" t="s">
        <v>62</v>
      </c>
    </row>
    <row r="280" spans="1:16" x14ac:dyDescent="0.25">
      <c r="A280" s="147"/>
      <c r="B280" s="147"/>
      <c r="C280" s="147"/>
      <c r="D280" s="147"/>
      <c r="E280" s="147"/>
      <c r="F280" s="147"/>
      <c r="G280" s="147"/>
      <c r="H280" s="147"/>
    </row>
    <row r="281" spans="1:16" x14ac:dyDescent="0.25">
      <c r="A281" s="154" t="s">
        <v>179</v>
      </c>
      <c r="B281" s="323">
        <v>5111.9799999999996</v>
      </c>
      <c r="C281" s="323">
        <v>5134.4480000000003</v>
      </c>
      <c r="D281" s="323">
        <v>6170.652</v>
      </c>
      <c r="E281" s="323">
        <v>6814.4340000000002</v>
      </c>
      <c r="F281" s="323">
        <v>7053.9260000000004</v>
      </c>
      <c r="G281" s="323">
        <v>7544.8879999999999</v>
      </c>
      <c r="H281" s="323">
        <v>8216.009</v>
      </c>
    </row>
    <row r="282" spans="1:16" x14ac:dyDescent="0.25">
      <c r="A282" s="147"/>
      <c r="B282" s="147"/>
      <c r="C282" s="147"/>
      <c r="D282" s="147"/>
      <c r="E282" s="147"/>
      <c r="F282" s="147"/>
      <c r="G282" s="147"/>
      <c r="H282" s="147"/>
    </row>
    <row r="283" spans="1:16" x14ac:dyDescent="0.25">
      <c r="A283" s="154" t="s">
        <v>180</v>
      </c>
      <c r="B283" s="156">
        <v>2604.2539999999999</v>
      </c>
      <c r="C283" s="156">
        <v>4585.2889999999998</v>
      </c>
      <c r="D283" s="156">
        <v>6194.509</v>
      </c>
      <c r="E283" s="156">
        <v>5632.8310000000001</v>
      </c>
      <c r="F283" s="156">
        <v>6954.0029999999997</v>
      </c>
      <c r="G283" s="156">
        <v>10417.614</v>
      </c>
      <c r="H283" s="156">
        <v>12642.706</v>
      </c>
    </row>
    <row r="284" spans="1:16" x14ac:dyDescent="0.25">
      <c r="A284" s="147"/>
      <c r="B284" s="147"/>
      <c r="C284" s="147"/>
      <c r="D284" s="147"/>
      <c r="E284" s="147"/>
      <c r="F284" s="147"/>
      <c r="G284" s="147"/>
      <c r="H284" s="147"/>
    </row>
    <row r="285" spans="1:16" x14ac:dyDescent="0.25">
      <c r="A285" s="147" t="s">
        <v>49</v>
      </c>
      <c r="B285" s="155">
        <v>-626</v>
      </c>
      <c r="C285" s="155">
        <v>-767.5</v>
      </c>
      <c r="D285" s="155">
        <v>-765.6</v>
      </c>
      <c r="E285" s="155">
        <v>-706.2</v>
      </c>
      <c r="F285" s="155">
        <v>-699.8</v>
      </c>
      <c r="G285" s="155">
        <v>-718.7</v>
      </c>
      <c r="H285" s="155">
        <v>-734.7</v>
      </c>
    </row>
    <row r="286" spans="1:16" s="110" customFormat="1" x14ac:dyDescent="0.25">
      <c r="A286" s="159" t="s">
        <v>181</v>
      </c>
      <c r="B286" s="160">
        <v>77</v>
      </c>
      <c r="C286" s="160">
        <v>41.558999999999997</v>
      </c>
      <c r="D286" s="160">
        <v>8.2140000000000004</v>
      </c>
      <c r="E286" s="160">
        <v>60</v>
      </c>
      <c r="F286" s="160">
        <v>281</v>
      </c>
      <c r="G286" s="160">
        <v>294</v>
      </c>
      <c r="H286" s="160">
        <v>309</v>
      </c>
      <c r="J286" s="161">
        <f>(C286-B286)/B286</f>
        <v>-0.46027272727272728</v>
      </c>
      <c r="K286" s="161">
        <f t="shared" ref="K286:N286" si="52">(D286-C286)/C286</f>
        <v>-0.80235328087778823</v>
      </c>
      <c r="L286" s="161">
        <f t="shared" si="52"/>
        <v>6.3046018991964941</v>
      </c>
      <c r="M286" s="161">
        <f t="shared" si="52"/>
        <v>3.6833333333333331</v>
      </c>
      <c r="N286" s="161">
        <f t="shared" si="52"/>
        <v>4.6263345195729534E-2</v>
      </c>
      <c r="P286" s="162">
        <f>AVERAGE(J286:N286)</f>
        <v>1.7543145139150085</v>
      </c>
    </row>
    <row r="287" spans="1:16" x14ac:dyDescent="0.25">
      <c r="A287" s="154" t="s">
        <v>182</v>
      </c>
      <c r="B287" s="323">
        <v>-549</v>
      </c>
      <c r="C287" s="323">
        <v>-725.9</v>
      </c>
      <c r="D287" s="323">
        <v>-757.4</v>
      </c>
      <c r="E287" s="323">
        <v>-646.20000000000005</v>
      </c>
      <c r="F287" s="323">
        <v>-418.8</v>
      </c>
      <c r="G287" s="323">
        <v>-424.7</v>
      </c>
      <c r="H287" s="323">
        <v>-425.7</v>
      </c>
    </row>
    <row r="288" spans="1:16" x14ac:dyDescent="0.25">
      <c r="A288" s="147"/>
      <c r="B288" s="147"/>
      <c r="C288" s="147"/>
      <c r="D288" s="147"/>
      <c r="E288" s="147"/>
      <c r="F288" s="147"/>
      <c r="G288" s="147"/>
      <c r="H288" s="147"/>
    </row>
    <row r="289" spans="1:16" s="110" customFormat="1" x14ac:dyDescent="0.25">
      <c r="A289" s="159" t="s">
        <v>183</v>
      </c>
      <c r="B289" s="160">
        <v>7</v>
      </c>
      <c r="C289" s="160">
        <v>-660</v>
      </c>
      <c r="D289" s="160">
        <v>403</v>
      </c>
      <c r="E289" s="160">
        <v>282</v>
      </c>
      <c r="F289" s="160">
        <v>-293</v>
      </c>
      <c r="G289" s="160">
        <v>-18</v>
      </c>
      <c r="H289" s="160">
        <v>-139</v>
      </c>
      <c r="J289" s="161">
        <f>(C289/B289)-1</f>
        <v>-95.285714285714292</v>
      </c>
      <c r="K289" s="161">
        <f t="shared" ref="K289:N289" si="53">(D289/C289)-1</f>
        <v>-1.6106060606060606</v>
      </c>
      <c r="L289" s="161">
        <f t="shared" si="53"/>
        <v>-0.30024813895781632</v>
      </c>
      <c r="M289" s="161">
        <f t="shared" si="53"/>
        <v>-2.0390070921985815</v>
      </c>
      <c r="N289" s="161">
        <f t="shared" si="53"/>
        <v>-0.93856655290102387</v>
      </c>
      <c r="P289" s="162">
        <f>AVERAGE(J289:N289)</f>
        <v>-20.034828426075556</v>
      </c>
    </row>
    <row r="290" spans="1:16" x14ac:dyDescent="0.25">
      <c r="A290" s="147" t="s">
        <v>184</v>
      </c>
      <c r="B290" s="155" t="s">
        <v>62</v>
      </c>
      <c r="C290" s="155" t="s">
        <v>62</v>
      </c>
      <c r="D290" s="155" t="s">
        <v>62</v>
      </c>
      <c r="E290" s="155">
        <v>-4.7</v>
      </c>
      <c r="F290" s="155">
        <v>-36.799999999999997</v>
      </c>
      <c r="G290" s="155">
        <v>-9.1999999999999993</v>
      </c>
      <c r="H290" s="155">
        <v>11.090999999999999</v>
      </c>
    </row>
    <row r="291" spans="1:16" x14ac:dyDescent="0.25">
      <c r="A291" s="154" t="s">
        <v>185</v>
      </c>
      <c r="B291" s="323">
        <v>2062.2310000000002</v>
      </c>
      <c r="C291" s="323">
        <v>3199.3490000000002</v>
      </c>
      <c r="D291" s="323">
        <v>5840.1030000000001</v>
      </c>
      <c r="E291" s="323">
        <v>5263.9290000000001</v>
      </c>
      <c r="F291" s="323">
        <v>6205.4049999999997</v>
      </c>
      <c r="G291" s="323">
        <v>9965.6569999999992</v>
      </c>
      <c r="H291" s="323">
        <v>12089.079</v>
      </c>
    </row>
    <row r="292" spans="1:16" x14ac:dyDescent="0.25">
      <c r="A292" s="147"/>
      <c r="B292" s="147"/>
      <c r="C292" s="147"/>
      <c r="D292" s="147"/>
      <c r="E292" s="147"/>
      <c r="F292" s="147"/>
      <c r="G292" s="147"/>
      <c r="H292" s="147"/>
    </row>
    <row r="293" spans="1:16" x14ac:dyDescent="0.25">
      <c r="A293" s="147" t="s">
        <v>186</v>
      </c>
      <c r="B293" s="155" t="s">
        <v>62</v>
      </c>
      <c r="C293" s="155" t="s">
        <v>62</v>
      </c>
      <c r="D293" s="155" t="s">
        <v>62</v>
      </c>
      <c r="E293" s="155" t="s">
        <v>62</v>
      </c>
      <c r="F293" s="155" t="s">
        <v>62</v>
      </c>
      <c r="G293" s="155" t="s">
        <v>62</v>
      </c>
      <c r="H293" s="155" t="s">
        <v>62</v>
      </c>
    </row>
    <row r="294" spans="1:16" x14ac:dyDescent="0.25">
      <c r="A294" s="147" t="s">
        <v>187</v>
      </c>
      <c r="B294" s="155" t="s">
        <v>62</v>
      </c>
      <c r="C294" s="155" t="s">
        <v>62</v>
      </c>
      <c r="D294" s="155" t="s">
        <v>62</v>
      </c>
      <c r="E294" s="155" t="s">
        <v>62</v>
      </c>
      <c r="F294" s="155" t="s">
        <v>62</v>
      </c>
      <c r="G294" s="155" t="s">
        <v>62</v>
      </c>
      <c r="H294" s="155" t="s">
        <v>62</v>
      </c>
    </row>
    <row r="295" spans="1:16" x14ac:dyDescent="0.25">
      <c r="A295" s="154" t="s">
        <v>188</v>
      </c>
      <c r="B295" s="323">
        <v>2062.2310000000002</v>
      </c>
      <c r="C295" s="323">
        <v>3199.3490000000002</v>
      </c>
      <c r="D295" s="323">
        <v>5840.1030000000001</v>
      </c>
      <c r="E295" s="323">
        <v>5263.9290000000001</v>
      </c>
      <c r="F295" s="323">
        <v>6205.4049999999997</v>
      </c>
      <c r="G295" s="323">
        <v>9965.6569999999992</v>
      </c>
      <c r="H295" s="323">
        <v>12089.079</v>
      </c>
    </row>
    <row r="296" spans="1:16" x14ac:dyDescent="0.25">
      <c r="A296" s="147"/>
      <c r="B296" s="147"/>
      <c r="C296" s="147"/>
      <c r="D296" s="147"/>
      <c r="E296" s="147"/>
      <c r="F296" s="147"/>
      <c r="G296" s="147"/>
      <c r="H296" s="147"/>
    </row>
    <row r="297" spans="1:16" x14ac:dyDescent="0.25">
      <c r="A297" s="147" t="s">
        <v>189</v>
      </c>
      <c r="B297" s="155">
        <v>195.315</v>
      </c>
      <c r="C297" s="155">
        <v>437.95400000000001</v>
      </c>
      <c r="D297" s="155">
        <v>723.875</v>
      </c>
      <c r="E297" s="155">
        <v>772.005</v>
      </c>
      <c r="F297" s="155">
        <v>797.41499999999996</v>
      </c>
      <c r="G297" s="155">
        <v>1254.0260000000001</v>
      </c>
      <c r="H297" s="155">
        <v>1657.7919999999999</v>
      </c>
    </row>
    <row r="298" spans="1:16" x14ac:dyDescent="0.25">
      <c r="A298" s="154" t="s">
        <v>190</v>
      </c>
      <c r="B298" s="323">
        <v>1866.9159999999999</v>
      </c>
      <c r="C298" s="323">
        <v>2761.395</v>
      </c>
      <c r="D298" s="323">
        <v>5116.2280000000001</v>
      </c>
      <c r="E298" s="323">
        <v>4491.924</v>
      </c>
      <c r="F298" s="323">
        <v>5407.99</v>
      </c>
      <c r="G298" s="323">
        <v>8711.6309999999994</v>
      </c>
      <c r="H298" s="323">
        <v>10431.287</v>
      </c>
    </row>
    <row r="299" spans="1:16" x14ac:dyDescent="0.25">
      <c r="A299" s="147"/>
      <c r="B299" s="147"/>
      <c r="C299" s="147"/>
      <c r="D299" s="147"/>
      <c r="E299" s="147"/>
      <c r="F299" s="147"/>
      <c r="G299" s="147"/>
      <c r="H299" s="147"/>
    </row>
    <row r="300" spans="1:16" x14ac:dyDescent="0.25">
      <c r="A300" s="147" t="s">
        <v>191</v>
      </c>
      <c r="B300" s="155" t="s">
        <v>62</v>
      </c>
      <c r="C300" s="155" t="s">
        <v>62</v>
      </c>
      <c r="D300" s="155" t="s">
        <v>62</v>
      </c>
      <c r="E300" s="155" t="s">
        <v>62</v>
      </c>
      <c r="F300" s="155" t="s">
        <v>62</v>
      </c>
      <c r="G300" s="155" t="s">
        <v>62</v>
      </c>
      <c r="H300" s="155" t="s">
        <v>62</v>
      </c>
    </row>
    <row r="301" spans="1:16" x14ac:dyDescent="0.25">
      <c r="A301" s="147" t="s">
        <v>192</v>
      </c>
      <c r="B301" s="155" t="s">
        <v>62</v>
      </c>
      <c r="C301" s="155" t="s">
        <v>62</v>
      </c>
      <c r="D301" s="155" t="s">
        <v>62</v>
      </c>
      <c r="E301" s="155" t="s">
        <v>62</v>
      </c>
      <c r="F301" s="155" t="s">
        <v>62</v>
      </c>
      <c r="G301" s="155" t="s">
        <v>62</v>
      </c>
      <c r="H301" s="155" t="s">
        <v>62</v>
      </c>
    </row>
    <row r="302" spans="1:16" x14ac:dyDescent="0.25">
      <c r="A302" s="154" t="s">
        <v>193</v>
      </c>
      <c r="B302" s="323">
        <v>1866.9159999999999</v>
      </c>
      <c r="C302" s="323">
        <v>2761.395</v>
      </c>
      <c r="D302" s="323">
        <v>5116.2280000000001</v>
      </c>
      <c r="E302" s="323">
        <v>4491.924</v>
      </c>
      <c r="F302" s="323">
        <v>5407.99</v>
      </c>
      <c r="G302" s="323">
        <v>8711.6309999999994</v>
      </c>
      <c r="H302" s="323">
        <v>10431.287</v>
      </c>
    </row>
    <row r="303" spans="1:16" x14ac:dyDescent="0.25">
      <c r="A303" s="147"/>
      <c r="B303" s="147"/>
      <c r="C303" s="147"/>
      <c r="D303" s="147"/>
      <c r="E303" s="147"/>
      <c r="F303" s="147"/>
      <c r="G303" s="147"/>
      <c r="H303" s="147"/>
    </row>
    <row r="304" spans="1:16" x14ac:dyDescent="0.25">
      <c r="A304" s="147" t="s">
        <v>194</v>
      </c>
      <c r="B304" s="155" t="s">
        <v>62</v>
      </c>
      <c r="C304" s="155" t="s">
        <v>62</v>
      </c>
      <c r="D304" s="155" t="s">
        <v>62</v>
      </c>
      <c r="E304" s="155" t="s">
        <v>62</v>
      </c>
      <c r="F304" s="155" t="s">
        <v>62</v>
      </c>
      <c r="G304" s="155" t="s">
        <v>62</v>
      </c>
      <c r="H304" s="155" t="s">
        <v>62</v>
      </c>
    </row>
    <row r="305" spans="1:8" x14ac:dyDescent="0.25">
      <c r="A305" s="154" t="s">
        <v>195</v>
      </c>
      <c r="B305" s="323">
        <v>1866.9159999999999</v>
      </c>
      <c r="C305" s="323">
        <v>2761.395</v>
      </c>
      <c r="D305" s="323">
        <v>5116.2280000000001</v>
      </c>
      <c r="E305" s="323">
        <v>4491.924</v>
      </c>
      <c r="F305" s="323">
        <v>5407.99</v>
      </c>
      <c r="G305" s="323">
        <v>8711.6309999999994</v>
      </c>
      <c r="H305" s="323">
        <v>10431.287</v>
      </c>
    </row>
    <row r="306" spans="1:8" x14ac:dyDescent="0.25">
      <c r="A306" s="147"/>
      <c r="B306" s="147"/>
      <c r="C306" s="147"/>
      <c r="D306" s="147"/>
      <c r="E306" s="147"/>
      <c r="F306" s="147"/>
      <c r="G306" s="147"/>
      <c r="H306" s="147"/>
    </row>
    <row r="307" spans="1:8" x14ac:dyDescent="0.25">
      <c r="A307" s="147" t="s">
        <v>196</v>
      </c>
      <c r="B307" s="155" t="s">
        <v>62</v>
      </c>
      <c r="C307" s="155" t="s">
        <v>62</v>
      </c>
      <c r="D307" s="155" t="s">
        <v>62</v>
      </c>
      <c r="E307" s="155" t="s">
        <v>62</v>
      </c>
      <c r="F307" s="155" t="s">
        <v>62</v>
      </c>
      <c r="G307" s="155" t="s">
        <v>62</v>
      </c>
      <c r="H307" s="155" t="s">
        <v>62</v>
      </c>
    </row>
    <row r="308" spans="1:8" x14ac:dyDescent="0.25">
      <c r="A308" s="147"/>
      <c r="B308" s="147"/>
      <c r="C308" s="147"/>
      <c r="D308" s="147"/>
      <c r="E308" s="147"/>
      <c r="F308" s="147"/>
      <c r="G308" s="147"/>
      <c r="H308" s="147"/>
    </row>
    <row r="309" spans="1:8" x14ac:dyDescent="0.25">
      <c r="A309" s="154" t="s">
        <v>197</v>
      </c>
      <c r="B309" s="156">
        <v>1866.9159999999999</v>
      </c>
      <c r="C309" s="156">
        <v>2761.395</v>
      </c>
      <c r="D309" s="156">
        <v>5116.2280000000001</v>
      </c>
      <c r="E309" s="156">
        <v>4491.924</v>
      </c>
      <c r="F309" s="156">
        <v>5407.99</v>
      </c>
      <c r="G309" s="156">
        <v>8711.6309999999994</v>
      </c>
      <c r="H309" s="156">
        <v>10431.287</v>
      </c>
    </row>
    <row r="310" spans="1:8" x14ac:dyDescent="0.25">
      <c r="A310" s="154" t="s">
        <v>198</v>
      </c>
      <c r="B310" s="156">
        <v>1866.9159999999999</v>
      </c>
      <c r="C310" s="156">
        <v>2761.395</v>
      </c>
      <c r="D310" s="156">
        <v>5116.2280000000001</v>
      </c>
      <c r="E310" s="156">
        <v>4491.924</v>
      </c>
      <c r="F310" s="156">
        <v>5407.99</v>
      </c>
      <c r="G310" s="156">
        <v>8711.6309999999994</v>
      </c>
      <c r="H310" s="156">
        <v>10431.287</v>
      </c>
    </row>
    <row r="311" spans="1:8" x14ac:dyDescent="0.25">
      <c r="A311" s="147"/>
      <c r="B311" s="147"/>
      <c r="C311" s="147"/>
      <c r="D311" s="147"/>
      <c r="E311" s="147"/>
      <c r="F311" s="147"/>
      <c r="G311" s="147"/>
      <c r="H311" s="147"/>
    </row>
    <row r="312" spans="1:8" x14ac:dyDescent="0.25">
      <c r="A312" s="154" t="s">
        <v>199</v>
      </c>
      <c r="B312" s="147"/>
      <c r="C312" s="147"/>
      <c r="D312" s="147"/>
      <c r="E312" s="147"/>
      <c r="F312" s="147"/>
      <c r="G312" s="147"/>
      <c r="H312" s="147"/>
    </row>
    <row r="313" spans="1:8" x14ac:dyDescent="0.25">
      <c r="A313" s="147" t="s">
        <v>200</v>
      </c>
      <c r="B313" s="163">
        <v>0.43</v>
      </c>
      <c r="C313" s="163">
        <v>0.63</v>
      </c>
      <c r="D313" s="163">
        <v>1.1499999999999999</v>
      </c>
      <c r="E313" s="163">
        <v>1.01</v>
      </c>
      <c r="F313" s="163">
        <v>1.22</v>
      </c>
      <c r="G313" s="163">
        <v>2.0299999999999998</v>
      </c>
      <c r="H313" s="163">
        <v>2.4500000000000002</v>
      </c>
    </row>
    <row r="314" spans="1:8" x14ac:dyDescent="0.25">
      <c r="A314" s="147" t="s">
        <v>201</v>
      </c>
      <c r="B314" s="164">
        <v>0.42643199999999998</v>
      </c>
      <c r="C314" s="164">
        <v>0.62627699999999997</v>
      </c>
      <c r="D314" s="164">
        <v>1.1545000000000001</v>
      </c>
      <c r="E314" s="164">
        <v>1.0101059999999999</v>
      </c>
      <c r="F314" s="164">
        <v>1.224715</v>
      </c>
      <c r="G314" s="164">
        <v>2.0282290000000001</v>
      </c>
      <c r="H314" s="164">
        <v>2.4477880000000001</v>
      </c>
    </row>
    <row r="315" spans="1:8" x14ac:dyDescent="0.25">
      <c r="A315" s="147" t="s">
        <v>202</v>
      </c>
      <c r="B315" s="155">
        <v>4377.99</v>
      </c>
      <c r="C315" s="155">
        <v>4409.22</v>
      </c>
      <c r="D315" s="155">
        <v>4431.55</v>
      </c>
      <c r="E315" s="155">
        <v>4446.9799999999996</v>
      </c>
      <c r="F315" s="155">
        <v>4415.71</v>
      </c>
      <c r="G315" s="155">
        <v>4295.1899999999996</v>
      </c>
      <c r="H315" s="155">
        <v>4261.5150000000003</v>
      </c>
    </row>
    <row r="316" spans="1:8" x14ac:dyDescent="0.25">
      <c r="A316" s="147"/>
      <c r="B316" s="147"/>
      <c r="C316" s="147"/>
      <c r="D316" s="147"/>
      <c r="E316" s="147"/>
      <c r="F316" s="147"/>
      <c r="G316" s="147"/>
      <c r="H316" s="147"/>
    </row>
    <row r="317" spans="1:8" x14ac:dyDescent="0.25">
      <c r="A317" s="147" t="s">
        <v>203</v>
      </c>
      <c r="B317" s="163">
        <v>0.41</v>
      </c>
      <c r="C317" s="163">
        <v>0.61</v>
      </c>
      <c r="D317" s="163">
        <v>1.1200000000000001</v>
      </c>
      <c r="E317" s="163">
        <v>1</v>
      </c>
      <c r="F317" s="163">
        <v>1.2</v>
      </c>
      <c r="G317" s="163">
        <v>1.98</v>
      </c>
      <c r="H317" s="163">
        <v>2.39</v>
      </c>
    </row>
    <row r="318" spans="1:8" x14ac:dyDescent="0.25">
      <c r="A318" s="147" t="s">
        <v>204</v>
      </c>
      <c r="B318" s="164">
        <v>0.41299999999999998</v>
      </c>
      <c r="C318" s="164">
        <v>0.60799999999999998</v>
      </c>
      <c r="D318" s="164">
        <v>1.1240000000000001</v>
      </c>
      <c r="E318" s="164">
        <v>0.995</v>
      </c>
      <c r="F318" s="164">
        <v>1.2030000000000001</v>
      </c>
      <c r="G318" s="164">
        <v>1.9830000000000001</v>
      </c>
      <c r="H318" s="164">
        <v>2.3927070000000001</v>
      </c>
    </row>
    <row r="319" spans="1:8" x14ac:dyDescent="0.25">
      <c r="A319" s="147" t="s">
        <v>205</v>
      </c>
      <c r="B319" s="155">
        <v>4517.6499999999996</v>
      </c>
      <c r="C319" s="155">
        <v>4542.08</v>
      </c>
      <c r="D319" s="155">
        <v>4553.72</v>
      </c>
      <c r="E319" s="155">
        <v>4512.8999999999996</v>
      </c>
      <c r="F319" s="155">
        <v>4494.9799999999996</v>
      </c>
      <c r="G319" s="155">
        <v>4392.6099999999997</v>
      </c>
      <c r="H319" s="155">
        <v>4359.0625</v>
      </c>
    </row>
    <row r="320" spans="1:8" x14ac:dyDescent="0.25">
      <c r="A320" s="147"/>
      <c r="B320" s="147"/>
      <c r="C320" s="147"/>
      <c r="D320" s="147"/>
      <c r="E320" s="147"/>
      <c r="F320" s="147"/>
      <c r="G320" s="147"/>
      <c r="H320" s="147"/>
    </row>
    <row r="321" spans="1:8" x14ac:dyDescent="0.25">
      <c r="A321" s="147" t="s">
        <v>206</v>
      </c>
      <c r="B321" s="163">
        <v>0.28999999999999998</v>
      </c>
      <c r="C321" s="163">
        <v>0.45</v>
      </c>
      <c r="D321" s="163">
        <v>0.82</v>
      </c>
      <c r="E321" s="163">
        <v>0.74</v>
      </c>
      <c r="F321" s="163">
        <v>0.88</v>
      </c>
      <c r="G321" s="163">
        <v>1.45</v>
      </c>
      <c r="H321" s="163">
        <v>1.77</v>
      </c>
    </row>
    <row r="322" spans="1:8" x14ac:dyDescent="0.25">
      <c r="A322" s="147" t="s">
        <v>207</v>
      </c>
      <c r="B322" s="164">
        <v>0.28530100000000003</v>
      </c>
      <c r="C322" s="164">
        <v>0.44023699999999999</v>
      </c>
      <c r="D322" s="164">
        <v>0.80155600000000005</v>
      </c>
      <c r="E322" s="164">
        <v>0.72901099999999996</v>
      </c>
      <c r="F322" s="164">
        <v>0.86282400000000004</v>
      </c>
      <c r="G322" s="164">
        <v>1.4179569999999999</v>
      </c>
      <c r="H322" s="164">
        <v>1.733325</v>
      </c>
    </row>
    <row r="323" spans="1:8" x14ac:dyDescent="0.25">
      <c r="A323" s="147"/>
      <c r="B323" s="147"/>
      <c r="C323" s="147"/>
      <c r="D323" s="147"/>
      <c r="E323" s="147"/>
      <c r="F323" s="147"/>
      <c r="G323" s="147"/>
      <c r="H323" s="147"/>
    </row>
    <row r="324" spans="1:8" x14ac:dyDescent="0.25">
      <c r="A324" s="147" t="s">
        <v>208</v>
      </c>
      <c r="B324" s="164" t="s">
        <v>209</v>
      </c>
      <c r="C324" s="164" t="s">
        <v>209</v>
      </c>
      <c r="D324" s="164" t="s">
        <v>209</v>
      </c>
      <c r="E324" s="164" t="s">
        <v>209</v>
      </c>
      <c r="F324" s="164" t="s">
        <v>209</v>
      </c>
      <c r="G324" s="164" t="s">
        <v>209</v>
      </c>
      <c r="H324" s="164" t="s">
        <v>209</v>
      </c>
    </row>
    <row r="325" spans="1:8" x14ac:dyDescent="0.25">
      <c r="A325" s="147"/>
      <c r="B325" s="147"/>
      <c r="C325" s="147"/>
      <c r="D325" s="147"/>
      <c r="E325" s="147"/>
      <c r="F325" s="147"/>
      <c r="G325" s="147"/>
      <c r="H325" s="147"/>
    </row>
    <row r="326" spans="1:8" x14ac:dyDescent="0.25">
      <c r="A326" s="147" t="s">
        <v>210</v>
      </c>
      <c r="B326" s="165">
        <v>1E-3</v>
      </c>
      <c r="C326" s="165">
        <v>1E-3</v>
      </c>
      <c r="D326" s="165">
        <v>1E-3</v>
      </c>
      <c r="E326" s="165">
        <v>1E-3</v>
      </c>
      <c r="F326" s="165">
        <v>1E-3</v>
      </c>
      <c r="G326" s="165">
        <v>1E-3</v>
      </c>
      <c r="H326" s="165">
        <v>1E-3</v>
      </c>
    </row>
    <row r="327" spans="1:8" x14ac:dyDescent="0.25">
      <c r="A327" s="147"/>
      <c r="B327" s="147"/>
      <c r="C327" s="147"/>
      <c r="D327" s="147"/>
      <c r="E327" s="147"/>
      <c r="F327" s="147"/>
      <c r="G327" s="147"/>
      <c r="H327" s="147"/>
    </row>
    <row r="328" spans="1:8" x14ac:dyDescent="0.25">
      <c r="A328" s="154" t="s">
        <v>211</v>
      </c>
      <c r="B328" s="147"/>
      <c r="C328" s="147"/>
      <c r="D328" s="147"/>
      <c r="E328" s="147"/>
      <c r="F328" s="147"/>
      <c r="G328" s="147"/>
      <c r="H328" s="147"/>
    </row>
    <row r="329" spans="1:8" x14ac:dyDescent="0.25">
      <c r="A329" s="147" t="s">
        <v>212</v>
      </c>
      <c r="B329" s="155">
        <v>2707.8330000000001</v>
      </c>
      <c r="C329" s="155">
        <v>4700.9989999999998</v>
      </c>
      <c r="D329" s="155">
        <v>6402.9210000000003</v>
      </c>
      <c r="E329" s="155">
        <v>5969.5129999999999</v>
      </c>
      <c r="F329" s="155">
        <v>7310.95</v>
      </c>
      <c r="G329" s="155">
        <v>10746.528</v>
      </c>
      <c r="H329" s="155">
        <v>12969.651</v>
      </c>
    </row>
    <row r="330" spans="1:8" x14ac:dyDescent="0.25">
      <c r="A330" s="147" t="s">
        <v>213</v>
      </c>
      <c r="B330" s="155">
        <v>2604.2539999999999</v>
      </c>
      <c r="C330" s="155">
        <v>4585.2889999999998</v>
      </c>
      <c r="D330" s="155">
        <v>6194.509</v>
      </c>
      <c r="E330" s="155">
        <v>5632.8310000000001</v>
      </c>
      <c r="F330" s="155">
        <v>6954.0029999999997</v>
      </c>
      <c r="G330" s="155">
        <v>10417.614</v>
      </c>
      <c r="H330" s="155">
        <v>12642.706</v>
      </c>
    </row>
    <row r="331" spans="1:8" x14ac:dyDescent="0.25">
      <c r="A331" s="147" t="s">
        <v>214</v>
      </c>
      <c r="B331" s="155">
        <v>2604.2539999999999</v>
      </c>
      <c r="C331" s="155">
        <v>4585.2889999999998</v>
      </c>
      <c r="D331" s="155">
        <v>6194.509</v>
      </c>
      <c r="E331" s="155">
        <v>5632.8310000000001</v>
      </c>
      <c r="F331" s="155">
        <v>6954.0029999999997</v>
      </c>
      <c r="G331" s="155">
        <v>10417.614</v>
      </c>
      <c r="H331" s="155">
        <v>12642.706</v>
      </c>
    </row>
    <row r="332" spans="1:8" x14ac:dyDescent="0.25">
      <c r="A332" s="147" t="s">
        <v>215</v>
      </c>
      <c r="B332" s="155">
        <v>3155.7220000000002</v>
      </c>
      <c r="C332" s="155">
        <v>5141.51</v>
      </c>
      <c r="D332" s="155">
        <v>6945.491</v>
      </c>
      <c r="E332" s="155">
        <v>6577.9409999999998</v>
      </c>
      <c r="F332" s="155">
        <v>7949.6279999999997</v>
      </c>
      <c r="G332" s="155">
        <v>11412.501</v>
      </c>
      <c r="H332" s="155" t="s">
        <v>209</v>
      </c>
    </row>
    <row r="333" spans="1:8" x14ac:dyDescent="0.25">
      <c r="A333" s="147" t="s">
        <v>216</v>
      </c>
      <c r="B333" s="166">
        <v>9.4710000000000003E-2</v>
      </c>
      <c r="C333" s="166">
        <v>0.13688800000000001</v>
      </c>
      <c r="D333" s="166">
        <v>0.123949</v>
      </c>
      <c r="E333" s="166">
        <v>0.14665900000000001</v>
      </c>
      <c r="F333" s="166">
        <v>0.12850300000000001</v>
      </c>
      <c r="G333" s="166">
        <v>0.125834</v>
      </c>
      <c r="H333" s="166">
        <v>0.137131</v>
      </c>
    </row>
    <row r="334" spans="1:8" x14ac:dyDescent="0.25">
      <c r="A334" s="147" t="s">
        <v>217</v>
      </c>
      <c r="B334" s="155">
        <v>66.725999999999999</v>
      </c>
      <c r="C334" s="155">
        <v>90.042000000000002</v>
      </c>
      <c r="D334" s="155">
        <v>167.167</v>
      </c>
      <c r="E334" s="155">
        <v>229.70500000000001</v>
      </c>
      <c r="F334" s="155">
        <v>1035.854</v>
      </c>
      <c r="G334" s="155">
        <v>1308.481</v>
      </c>
      <c r="H334" s="155">
        <v>1308.481</v>
      </c>
    </row>
    <row r="335" spans="1:8" x14ac:dyDescent="0.25">
      <c r="A335" s="147" t="s">
        <v>218</v>
      </c>
      <c r="B335" s="155">
        <v>223.328</v>
      </c>
      <c r="C335" s="155">
        <v>277.846</v>
      </c>
      <c r="D335" s="155">
        <v>357.18900000000002</v>
      </c>
      <c r="E335" s="155">
        <v>676.827</v>
      </c>
      <c r="F335" s="155">
        <v>304.53899999999999</v>
      </c>
      <c r="G335" s="155">
        <v>536.91499999999996</v>
      </c>
      <c r="H335" s="155">
        <v>536.91499999999996</v>
      </c>
    </row>
    <row r="336" spans="1:8" x14ac:dyDescent="0.25">
      <c r="A336" s="147" t="s">
        <v>219</v>
      </c>
      <c r="B336" s="155">
        <v>290.05399999999997</v>
      </c>
      <c r="C336" s="155">
        <v>367.88799999999998</v>
      </c>
      <c r="D336" s="155">
        <v>524.35599999999999</v>
      </c>
      <c r="E336" s="155">
        <v>906.53200000000004</v>
      </c>
      <c r="F336" s="155">
        <v>1340.393</v>
      </c>
      <c r="G336" s="155">
        <v>1845.396</v>
      </c>
      <c r="H336" s="155">
        <v>1845.396</v>
      </c>
    </row>
    <row r="337" spans="1:8" x14ac:dyDescent="0.25">
      <c r="A337" s="147" t="s">
        <v>220</v>
      </c>
      <c r="B337" s="155">
        <v>-82.5</v>
      </c>
      <c r="C337" s="155">
        <v>106.92</v>
      </c>
      <c r="D337" s="155">
        <v>186.23699999999999</v>
      </c>
      <c r="E337" s="155">
        <v>-83.1</v>
      </c>
      <c r="F337" s="155">
        <v>-468.2</v>
      </c>
      <c r="G337" s="155">
        <v>-562.20000000000005</v>
      </c>
      <c r="H337" s="155">
        <v>-562.20000000000005</v>
      </c>
    </row>
    <row r="338" spans="1:8" x14ac:dyDescent="0.25">
      <c r="A338" s="147" t="s">
        <v>221</v>
      </c>
      <c r="B338" s="155">
        <v>-12.2</v>
      </c>
      <c r="C338" s="155">
        <v>-36.9</v>
      </c>
      <c r="D338" s="155">
        <v>13.282</v>
      </c>
      <c r="E338" s="155">
        <v>-51.4</v>
      </c>
      <c r="F338" s="155">
        <v>-74.7</v>
      </c>
      <c r="G338" s="155">
        <v>-29.2</v>
      </c>
      <c r="H338" s="155">
        <v>-29.2</v>
      </c>
    </row>
    <row r="339" spans="1:8" x14ac:dyDescent="0.25">
      <c r="A339" s="147" t="s">
        <v>222</v>
      </c>
      <c r="B339" s="155">
        <v>-94.7</v>
      </c>
      <c r="C339" s="155">
        <v>70.066000000000003</v>
      </c>
      <c r="D339" s="155">
        <v>199.51900000000001</v>
      </c>
      <c r="E339" s="155">
        <v>-134.5</v>
      </c>
      <c r="F339" s="155">
        <v>-543</v>
      </c>
      <c r="G339" s="155">
        <v>-591.4</v>
      </c>
      <c r="H339" s="155">
        <v>-591.4</v>
      </c>
    </row>
    <row r="340" spans="1:8" x14ac:dyDescent="0.25">
      <c r="A340" s="147"/>
      <c r="B340" s="147"/>
      <c r="C340" s="147"/>
      <c r="D340" s="147"/>
      <c r="E340" s="147"/>
      <c r="F340" s="147"/>
      <c r="G340" s="147"/>
      <c r="H340" s="147"/>
    </row>
    <row r="341" spans="1:8" x14ac:dyDescent="0.25">
      <c r="A341" s="147" t="s">
        <v>223</v>
      </c>
      <c r="B341" s="155">
        <v>1288.8943750000001</v>
      </c>
      <c r="C341" s="155">
        <v>1999.5931250000001</v>
      </c>
      <c r="D341" s="155">
        <v>3650.0643749999999</v>
      </c>
      <c r="E341" s="155">
        <v>3289.9556250000001</v>
      </c>
      <c r="F341" s="155">
        <v>3878.3781250000002</v>
      </c>
      <c r="G341" s="155">
        <v>6228.5356250000004</v>
      </c>
      <c r="H341" s="155">
        <v>7555.6743749999996</v>
      </c>
    </row>
    <row r="342" spans="1:8" x14ac:dyDescent="0.25">
      <c r="A342" s="147" t="s">
        <v>224</v>
      </c>
      <c r="B342" s="155" t="s">
        <v>209</v>
      </c>
      <c r="C342" s="155" t="s">
        <v>209</v>
      </c>
      <c r="D342" s="155" t="s">
        <v>209</v>
      </c>
      <c r="E342" s="155" t="s">
        <v>209</v>
      </c>
      <c r="F342" s="155" t="s">
        <v>209</v>
      </c>
      <c r="G342" s="155">
        <v>718</v>
      </c>
      <c r="H342" s="155" t="s">
        <v>209</v>
      </c>
    </row>
    <row r="343" spans="1:8" x14ac:dyDescent="0.25">
      <c r="A343" s="147" t="s">
        <v>108</v>
      </c>
      <c r="B343" s="157">
        <v>44588</v>
      </c>
      <c r="C343" s="157">
        <v>44588</v>
      </c>
      <c r="D343" s="157">
        <v>45317</v>
      </c>
      <c r="E343" s="157">
        <v>45684</v>
      </c>
      <c r="F343" s="157">
        <v>45684</v>
      </c>
      <c r="G343" s="157">
        <v>45684</v>
      </c>
      <c r="H343" s="157">
        <v>45952</v>
      </c>
    </row>
    <row r="344" spans="1:8" x14ac:dyDescent="0.25">
      <c r="A344" s="147" t="s">
        <v>225</v>
      </c>
      <c r="B344" s="167" t="s">
        <v>226</v>
      </c>
      <c r="C344" s="167" t="s">
        <v>226</v>
      </c>
      <c r="D344" s="167" t="s">
        <v>226</v>
      </c>
      <c r="E344" s="167" t="s">
        <v>226</v>
      </c>
      <c r="F344" s="167" t="s">
        <v>226</v>
      </c>
      <c r="G344" s="167" t="s">
        <v>227</v>
      </c>
      <c r="H344" s="167" t="s">
        <v>227</v>
      </c>
    </row>
    <row r="345" spans="1:8" x14ac:dyDescent="0.25">
      <c r="A345" s="147" t="s">
        <v>228</v>
      </c>
      <c r="B345" s="167" t="s">
        <v>229</v>
      </c>
      <c r="C345" s="167" t="s">
        <v>229</v>
      </c>
      <c r="D345" s="167" t="s">
        <v>229</v>
      </c>
      <c r="E345" s="167" t="s">
        <v>229</v>
      </c>
      <c r="F345" s="167" t="s">
        <v>229</v>
      </c>
      <c r="G345" s="167" t="s">
        <v>229</v>
      </c>
      <c r="H345" s="167" t="s">
        <v>230</v>
      </c>
    </row>
    <row r="346" spans="1:8" x14ac:dyDescent="0.25">
      <c r="A346" s="147"/>
      <c r="B346" s="147"/>
      <c r="C346" s="147"/>
      <c r="D346" s="147"/>
      <c r="E346" s="147"/>
      <c r="F346" s="147"/>
      <c r="G346" s="147"/>
      <c r="H346" s="147"/>
    </row>
    <row r="347" spans="1:8" x14ac:dyDescent="0.25">
      <c r="A347" s="154" t="s">
        <v>231</v>
      </c>
      <c r="B347" s="147"/>
      <c r="C347" s="147"/>
      <c r="D347" s="147"/>
      <c r="E347" s="147"/>
      <c r="F347" s="147"/>
      <c r="G347" s="147"/>
      <c r="H347" s="147"/>
    </row>
    <row r="348" spans="1:8" x14ac:dyDescent="0.25">
      <c r="A348" s="147" t="s">
        <v>232</v>
      </c>
      <c r="B348" s="155">
        <v>1879</v>
      </c>
      <c r="C348" s="155">
        <v>1447</v>
      </c>
      <c r="D348" s="155">
        <v>1669</v>
      </c>
      <c r="E348" s="155">
        <v>1586</v>
      </c>
      <c r="F348" s="155">
        <v>1732</v>
      </c>
      <c r="G348" s="155">
        <v>1779</v>
      </c>
      <c r="H348" s="155" t="s">
        <v>209</v>
      </c>
    </row>
    <row r="349" spans="1:8" x14ac:dyDescent="0.25">
      <c r="A349" s="147" t="s">
        <v>233</v>
      </c>
      <c r="B349" s="155">
        <v>773.46199999999999</v>
      </c>
      <c r="C349" s="155">
        <v>781.36199999999997</v>
      </c>
      <c r="D349" s="155">
        <v>876.14599999999996</v>
      </c>
      <c r="E349" s="155" t="s">
        <v>209</v>
      </c>
      <c r="F349" s="155" t="s">
        <v>209</v>
      </c>
      <c r="G349" s="155" t="s">
        <v>209</v>
      </c>
      <c r="H349" s="155" t="s">
        <v>209</v>
      </c>
    </row>
    <row r="350" spans="1:8" x14ac:dyDescent="0.25">
      <c r="A350" s="147" t="s">
        <v>234</v>
      </c>
      <c r="B350" s="155">
        <v>2652.462</v>
      </c>
      <c r="C350" s="155">
        <v>2228.3620000000001</v>
      </c>
      <c r="D350" s="155">
        <v>2545.1460000000002</v>
      </c>
      <c r="E350" s="155">
        <v>2530.502</v>
      </c>
      <c r="F350" s="155">
        <v>2657.8829999999998</v>
      </c>
      <c r="G350" s="155">
        <v>2917.5540000000001</v>
      </c>
      <c r="H350" s="155">
        <v>3164.134</v>
      </c>
    </row>
    <row r="351" spans="1:8" x14ac:dyDescent="0.25">
      <c r="A351" s="147" t="s">
        <v>235</v>
      </c>
      <c r="B351" s="155">
        <v>914.36900000000003</v>
      </c>
      <c r="C351" s="155">
        <v>1076.4860000000001</v>
      </c>
      <c r="D351" s="155">
        <v>1351.6210000000001</v>
      </c>
      <c r="E351" s="155">
        <v>1572.8910000000001</v>
      </c>
      <c r="F351" s="155">
        <v>1720.2850000000001</v>
      </c>
      <c r="G351" s="155">
        <v>1702.039</v>
      </c>
      <c r="H351" s="155">
        <v>1774.28</v>
      </c>
    </row>
    <row r="352" spans="1:8" x14ac:dyDescent="0.25">
      <c r="A352" s="147" t="s">
        <v>236</v>
      </c>
      <c r="B352" s="155">
        <v>1545.1489999999999</v>
      </c>
      <c r="C352" s="155">
        <v>1829.6</v>
      </c>
      <c r="D352" s="155">
        <v>2273.8850000000002</v>
      </c>
      <c r="E352" s="155">
        <v>2711.0410000000002</v>
      </c>
      <c r="F352" s="155">
        <v>2675.7579999999998</v>
      </c>
      <c r="G352" s="155">
        <v>2925.2950000000001</v>
      </c>
      <c r="H352" s="155">
        <v>3277.5949999999998</v>
      </c>
    </row>
    <row r="353" spans="1:8" x14ac:dyDescent="0.25">
      <c r="A353" s="147" t="s">
        <v>237</v>
      </c>
      <c r="B353" s="155">
        <v>447.88900000000001</v>
      </c>
      <c r="C353" s="155">
        <v>440.51100000000002</v>
      </c>
      <c r="D353" s="155">
        <v>542.57000000000005</v>
      </c>
      <c r="E353" s="155">
        <v>608.428</v>
      </c>
      <c r="F353" s="155">
        <v>638.678</v>
      </c>
      <c r="G353" s="155">
        <v>665.97299999999996</v>
      </c>
      <c r="H353" s="155" t="s">
        <v>209</v>
      </c>
    </row>
    <row r="354" spans="1:8" x14ac:dyDescent="0.25">
      <c r="A354" s="147" t="s">
        <v>238</v>
      </c>
      <c r="B354" s="155">
        <v>167.818634</v>
      </c>
      <c r="C354" s="155">
        <v>155.07044400000001</v>
      </c>
      <c r="D354" s="155">
        <v>181.457111</v>
      </c>
      <c r="E354" s="155">
        <v>196.15232</v>
      </c>
      <c r="F354" s="155">
        <v>210.922132</v>
      </c>
      <c r="G354" s="155">
        <v>219.00921700000001</v>
      </c>
      <c r="H354" s="155" t="s">
        <v>62</v>
      </c>
    </row>
    <row r="355" spans="1:8" x14ac:dyDescent="0.25">
      <c r="A355" s="147" t="s">
        <v>239</v>
      </c>
      <c r="B355" s="155">
        <v>280.07036599999998</v>
      </c>
      <c r="C355" s="155">
        <v>285.44055600000002</v>
      </c>
      <c r="D355" s="155">
        <v>361.112889</v>
      </c>
      <c r="E355" s="155">
        <v>412.27568000000002</v>
      </c>
      <c r="F355" s="155">
        <v>427.75586800000002</v>
      </c>
      <c r="G355" s="155">
        <v>446.96378299999998</v>
      </c>
      <c r="H355" s="155" t="s">
        <v>62</v>
      </c>
    </row>
    <row r="356" spans="1:8" x14ac:dyDescent="0.25">
      <c r="A356" s="147"/>
      <c r="B356" s="147"/>
      <c r="C356" s="147"/>
      <c r="D356" s="147"/>
      <c r="E356" s="147"/>
      <c r="F356" s="147"/>
      <c r="G356" s="147"/>
      <c r="H356" s="147"/>
    </row>
    <row r="357" spans="1:8" x14ac:dyDescent="0.25">
      <c r="A357" s="147" t="s">
        <v>240</v>
      </c>
      <c r="B357" s="155">
        <v>405.37599999999998</v>
      </c>
      <c r="C357" s="155">
        <v>415.18</v>
      </c>
      <c r="D357" s="155">
        <v>403.22</v>
      </c>
      <c r="E357" s="155">
        <v>575.452</v>
      </c>
      <c r="F357" s="155">
        <v>339.36799999999999</v>
      </c>
      <c r="G357" s="155">
        <v>272.58800000000002</v>
      </c>
      <c r="H357" s="155">
        <v>295.65199999999999</v>
      </c>
    </row>
    <row r="358" spans="1:8" x14ac:dyDescent="0.25">
      <c r="A358" s="154" t="s">
        <v>241</v>
      </c>
      <c r="B358" s="156">
        <v>405.37599999999998</v>
      </c>
      <c r="C358" s="156">
        <v>415.18</v>
      </c>
      <c r="D358" s="156">
        <v>403.22</v>
      </c>
      <c r="E358" s="156">
        <v>575.452</v>
      </c>
      <c r="F358" s="156">
        <v>339.36799999999999</v>
      </c>
      <c r="G358" s="156">
        <v>272.58800000000002</v>
      </c>
      <c r="H358" s="156">
        <v>295.65199999999999</v>
      </c>
    </row>
    <row r="362" spans="1:8" x14ac:dyDescent="0.25">
      <c r="A362" s="143" t="s">
        <v>242</v>
      </c>
      <c r="B362" s="144"/>
      <c r="C362" s="144"/>
      <c r="D362" s="144"/>
      <c r="E362" s="144"/>
      <c r="F362" s="144"/>
      <c r="G362" s="144"/>
      <c r="H362" s="144"/>
    </row>
    <row r="363" spans="1:8" x14ac:dyDescent="0.25">
      <c r="A363" s="144"/>
      <c r="B363" s="144"/>
      <c r="C363" s="144"/>
      <c r="D363" s="144"/>
      <c r="E363" s="144"/>
      <c r="F363" s="144"/>
      <c r="G363" s="144"/>
      <c r="H363" s="144"/>
    </row>
    <row r="364" spans="1:8" x14ac:dyDescent="0.25">
      <c r="A364" s="145" t="s">
        <v>164</v>
      </c>
      <c r="B364" s="146" t="s">
        <v>165</v>
      </c>
      <c r="C364" s="144" t="s">
        <v>166</v>
      </c>
      <c r="D364" s="147" t="s">
        <v>113</v>
      </c>
      <c r="E364" s="146" t="s">
        <v>114</v>
      </c>
      <c r="F364" s="144" t="s">
        <v>115</v>
      </c>
      <c r="G364" s="144"/>
      <c r="H364" s="144"/>
    </row>
    <row r="365" spans="1:8" x14ac:dyDescent="0.25">
      <c r="A365" s="147"/>
      <c r="B365" s="146" t="s">
        <v>116</v>
      </c>
      <c r="C365" s="144" t="s">
        <v>117</v>
      </c>
      <c r="D365" s="147" t="s">
        <v>113</v>
      </c>
      <c r="E365" s="146" t="s">
        <v>118</v>
      </c>
      <c r="F365" s="144" t="s">
        <v>119</v>
      </c>
      <c r="G365" s="144"/>
      <c r="H365" s="144"/>
    </row>
    <row r="366" spans="1:8" x14ac:dyDescent="0.25">
      <c r="A366" s="147"/>
      <c r="B366" s="146" t="s">
        <v>120</v>
      </c>
      <c r="C366" s="144" t="s">
        <v>121</v>
      </c>
      <c r="D366" s="147" t="s">
        <v>113</v>
      </c>
      <c r="E366" s="146" t="s">
        <v>122</v>
      </c>
      <c r="F366" s="144" t="s">
        <v>123</v>
      </c>
      <c r="G366" s="144"/>
      <c r="H366" s="144"/>
    </row>
    <row r="367" spans="1:8" x14ac:dyDescent="0.25">
      <c r="A367" s="147"/>
      <c r="B367" s="146" t="s">
        <v>124</v>
      </c>
      <c r="C367" s="144" t="s">
        <v>125</v>
      </c>
      <c r="D367" s="147" t="s">
        <v>113</v>
      </c>
      <c r="E367" s="146" t="s">
        <v>126</v>
      </c>
      <c r="F367" s="148" t="s">
        <v>127</v>
      </c>
      <c r="G367" s="144"/>
      <c r="H367" s="144"/>
    </row>
    <row r="368" spans="1:8" x14ac:dyDescent="0.25">
      <c r="A368" s="147"/>
      <c r="B368" s="146" t="s">
        <v>167</v>
      </c>
      <c r="C368" s="144" t="s">
        <v>168</v>
      </c>
      <c r="D368" s="147" t="s">
        <v>113</v>
      </c>
      <c r="E368" s="158"/>
      <c r="F368" s="158"/>
      <c r="G368" s="144"/>
      <c r="H368" s="144"/>
    </row>
    <row r="369" spans="1:8" x14ac:dyDescent="0.25">
      <c r="A369" s="144"/>
      <c r="B369" s="144"/>
      <c r="C369" s="144"/>
      <c r="D369" s="144"/>
      <c r="E369" s="144"/>
      <c r="F369" s="144"/>
      <c r="G369" s="144"/>
      <c r="H369" s="144"/>
    </row>
    <row r="370" spans="1:8" x14ac:dyDescent="0.25">
      <c r="A370" s="144"/>
      <c r="B370" s="144"/>
      <c r="C370" s="144"/>
      <c r="D370" s="144"/>
      <c r="E370" s="144"/>
      <c r="F370" s="144"/>
      <c r="G370" s="144"/>
      <c r="H370" s="144"/>
    </row>
    <row r="371" spans="1:8" x14ac:dyDescent="0.25">
      <c r="A371" s="149" t="s">
        <v>243</v>
      </c>
      <c r="B371" s="149"/>
      <c r="C371" s="149"/>
      <c r="D371" s="149"/>
      <c r="E371" s="149"/>
      <c r="F371" s="149"/>
      <c r="G371" s="149"/>
      <c r="H371" s="149"/>
    </row>
    <row r="372" spans="1:8" ht="31.5" x14ac:dyDescent="0.25">
      <c r="A372" s="150" t="s">
        <v>244</v>
      </c>
      <c r="B372" s="151" t="s">
        <v>245</v>
      </c>
      <c r="C372" s="168">
        <v>44196</v>
      </c>
      <c r="D372" s="168">
        <v>44561</v>
      </c>
      <c r="E372" s="168">
        <v>44926</v>
      </c>
      <c r="F372" s="168">
        <v>45291</v>
      </c>
      <c r="G372" s="168">
        <v>45657</v>
      </c>
      <c r="H372" s="168">
        <v>45930</v>
      </c>
    </row>
    <row r="373" spans="1:8" x14ac:dyDescent="0.25">
      <c r="A373" s="152" t="s">
        <v>136</v>
      </c>
      <c r="B373" s="153" t="s">
        <v>137</v>
      </c>
      <c r="C373" s="153" t="s">
        <v>137</v>
      </c>
      <c r="D373" s="153" t="s">
        <v>137</v>
      </c>
      <c r="E373" s="153" t="s">
        <v>137</v>
      </c>
      <c r="F373" s="153" t="s">
        <v>137</v>
      </c>
      <c r="G373" s="153" t="s">
        <v>137</v>
      </c>
      <c r="H373" s="153" t="s">
        <v>137</v>
      </c>
    </row>
    <row r="374" spans="1:8" x14ac:dyDescent="0.25">
      <c r="A374" s="154" t="s">
        <v>246</v>
      </c>
      <c r="B374" s="147"/>
      <c r="C374" s="147"/>
      <c r="D374" s="147"/>
      <c r="E374" s="147"/>
      <c r="F374" s="147"/>
      <c r="G374" s="147"/>
      <c r="H374" s="147"/>
    </row>
    <row r="375" spans="1:8" x14ac:dyDescent="0.25">
      <c r="A375" s="147" t="s">
        <v>247</v>
      </c>
      <c r="B375" s="155">
        <v>5018.4369999999999</v>
      </c>
      <c r="C375" s="155">
        <v>8205.5499999999993</v>
      </c>
      <c r="D375" s="155">
        <v>6027.8040000000001</v>
      </c>
      <c r="E375" s="155">
        <v>5147.1760000000004</v>
      </c>
      <c r="F375" s="155">
        <v>7116.9129999999996</v>
      </c>
      <c r="G375" s="155">
        <v>7804.7330000000002</v>
      </c>
      <c r="H375" s="155">
        <v>9287.2870000000003</v>
      </c>
    </row>
    <row r="376" spans="1:8" x14ac:dyDescent="0.25">
      <c r="A376" s="147" t="s">
        <v>248</v>
      </c>
      <c r="B376" s="155" t="s">
        <v>62</v>
      </c>
      <c r="C376" s="155" t="s">
        <v>62</v>
      </c>
      <c r="D376" s="155" t="s">
        <v>62</v>
      </c>
      <c r="E376" s="155">
        <v>911.27599999999995</v>
      </c>
      <c r="F376" s="155">
        <v>20.972999999999999</v>
      </c>
      <c r="G376" s="155">
        <v>1779.0060000000001</v>
      </c>
      <c r="H376" s="155">
        <v>37.104999999999997</v>
      </c>
    </row>
    <row r="377" spans="1:8" x14ac:dyDescent="0.25">
      <c r="A377" s="154" t="s">
        <v>72</v>
      </c>
      <c r="B377" s="323">
        <v>5018.4369999999999</v>
      </c>
      <c r="C377" s="323">
        <v>8205.5499999999993</v>
      </c>
      <c r="D377" s="323">
        <v>6027.8040000000001</v>
      </c>
      <c r="E377" s="323">
        <v>6058.4520000000002</v>
      </c>
      <c r="F377" s="323">
        <v>7137.8860000000004</v>
      </c>
      <c r="G377" s="323">
        <v>9583.7389999999996</v>
      </c>
      <c r="H377" s="323">
        <v>9324.3919999999998</v>
      </c>
    </row>
    <row r="378" spans="1:8" x14ac:dyDescent="0.25">
      <c r="A378" s="147"/>
      <c r="B378" s="147"/>
      <c r="C378" s="147"/>
      <c r="D378" s="147"/>
      <c r="E378" s="147"/>
      <c r="F378" s="147"/>
      <c r="G378" s="147"/>
      <c r="H378" s="147"/>
    </row>
    <row r="379" spans="1:8" x14ac:dyDescent="0.25">
      <c r="A379" s="147" t="s">
        <v>60</v>
      </c>
      <c r="B379" s="155">
        <v>454.399</v>
      </c>
      <c r="C379" s="155">
        <v>610.81899999999996</v>
      </c>
      <c r="D379" s="155">
        <v>804.32</v>
      </c>
      <c r="E379" s="155">
        <v>988.89800000000002</v>
      </c>
      <c r="F379" s="155">
        <v>1287.0540000000001</v>
      </c>
      <c r="G379" s="155">
        <v>1335.3040000000001</v>
      </c>
      <c r="H379" s="155">
        <v>1688.7929999999999</v>
      </c>
    </row>
    <row r="380" spans="1:8" x14ac:dyDescent="0.25">
      <c r="A380" s="147" t="s">
        <v>61</v>
      </c>
      <c r="B380" s="155" t="s">
        <v>62</v>
      </c>
      <c r="C380" s="155" t="s">
        <v>62</v>
      </c>
      <c r="D380" s="155" t="s">
        <v>62</v>
      </c>
      <c r="E380" s="155">
        <v>598</v>
      </c>
      <c r="F380" s="155">
        <v>555</v>
      </c>
      <c r="G380" s="155">
        <v>653</v>
      </c>
      <c r="H380" s="155" t="s">
        <v>62</v>
      </c>
    </row>
    <row r="381" spans="1:8" x14ac:dyDescent="0.25">
      <c r="A381" s="154" t="s">
        <v>249</v>
      </c>
      <c r="B381" s="323">
        <v>454.399</v>
      </c>
      <c r="C381" s="323">
        <v>610.81899999999996</v>
      </c>
      <c r="D381" s="323">
        <v>804.32</v>
      </c>
      <c r="E381" s="323">
        <v>1586.8979999999999</v>
      </c>
      <c r="F381" s="323">
        <v>1842.0540000000001</v>
      </c>
      <c r="G381" s="323">
        <v>1988.3040000000001</v>
      </c>
      <c r="H381" s="323">
        <v>1688.7929999999999</v>
      </c>
    </row>
    <row r="382" spans="1:8" x14ac:dyDescent="0.25">
      <c r="A382" s="147"/>
      <c r="B382" s="147"/>
      <c r="C382" s="147"/>
      <c r="D382" s="147"/>
      <c r="E382" s="147"/>
      <c r="F382" s="147"/>
      <c r="G382" s="147"/>
      <c r="H382" s="147"/>
    </row>
    <row r="383" spans="1:8" x14ac:dyDescent="0.25">
      <c r="A383" s="147" t="s">
        <v>63</v>
      </c>
      <c r="B383" s="155">
        <v>180.999</v>
      </c>
      <c r="C383" s="155">
        <v>203.042</v>
      </c>
      <c r="D383" s="155">
        <v>323.81799999999998</v>
      </c>
      <c r="E383" s="155">
        <v>392.73500000000001</v>
      </c>
      <c r="F383" s="155">
        <v>408.93599999999998</v>
      </c>
      <c r="G383" s="155">
        <v>431.92399999999998</v>
      </c>
      <c r="H383" s="155">
        <v>467.553</v>
      </c>
    </row>
    <row r="384" spans="1:8" x14ac:dyDescent="0.25">
      <c r="A384" s="147" t="s">
        <v>250</v>
      </c>
      <c r="B384" s="155" t="s">
        <v>62</v>
      </c>
      <c r="C384" s="155" t="s">
        <v>62</v>
      </c>
      <c r="D384" s="155">
        <v>3.1890000000000001</v>
      </c>
      <c r="E384" s="155">
        <v>3.41</v>
      </c>
      <c r="F384" s="155" t="s">
        <v>62</v>
      </c>
      <c r="G384" s="155" t="s">
        <v>62</v>
      </c>
      <c r="H384" s="155" t="s">
        <v>62</v>
      </c>
    </row>
    <row r="385" spans="1:8" x14ac:dyDescent="0.25">
      <c r="A385" s="147" t="s">
        <v>64</v>
      </c>
      <c r="B385" s="155">
        <v>524.66899999999998</v>
      </c>
      <c r="C385" s="155">
        <v>742.16899999999998</v>
      </c>
      <c r="D385" s="155">
        <v>910.69399999999996</v>
      </c>
      <c r="E385" s="155">
        <v>1224.9780000000001</v>
      </c>
      <c r="F385" s="155">
        <v>529.25699999999995</v>
      </c>
      <c r="G385" s="155">
        <v>1096.412</v>
      </c>
      <c r="H385" s="155">
        <v>1482.1969999999999</v>
      </c>
    </row>
    <row r="386" spans="1:8" x14ac:dyDescent="0.25">
      <c r="A386" s="154" t="s">
        <v>251</v>
      </c>
      <c r="B386" s="323">
        <v>6178.5039999999999</v>
      </c>
      <c r="C386" s="323">
        <v>9761.58</v>
      </c>
      <c r="D386" s="323">
        <v>8069.8249999999998</v>
      </c>
      <c r="E386" s="323">
        <v>9266.473</v>
      </c>
      <c r="F386" s="323">
        <v>9918.1329999999998</v>
      </c>
      <c r="G386" s="323">
        <v>13100.379000000001</v>
      </c>
      <c r="H386" s="323">
        <v>12962.934999999999</v>
      </c>
    </row>
    <row r="387" spans="1:8" x14ac:dyDescent="0.25">
      <c r="A387" s="147"/>
      <c r="B387" s="147"/>
      <c r="C387" s="147"/>
      <c r="D387" s="147"/>
      <c r="E387" s="147"/>
      <c r="F387" s="147"/>
      <c r="G387" s="147"/>
      <c r="H387" s="147"/>
    </row>
    <row r="388" spans="1:8" x14ac:dyDescent="0.25">
      <c r="A388" s="147" t="s">
        <v>252</v>
      </c>
      <c r="B388" s="155">
        <v>2513.511</v>
      </c>
      <c r="C388" s="155">
        <v>3492.6990000000001</v>
      </c>
      <c r="D388" s="155">
        <v>4386.3320000000003</v>
      </c>
      <c r="E388" s="155">
        <v>4379.12</v>
      </c>
      <c r="F388" s="155">
        <v>4423.3860000000004</v>
      </c>
      <c r="G388" s="155">
        <v>4613.6030000000001</v>
      </c>
      <c r="H388" s="155">
        <v>5180.4030000000002</v>
      </c>
    </row>
    <row r="389" spans="1:8" x14ac:dyDescent="0.25">
      <c r="A389" s="147" t="s">
        <v>253</v>
      </c>
      <c r="B389" s="155">
        <v>-416</v>
      </c>
      <c r="C389" s="155">
        <v>-494.8</v>
      </c>
      <c r="D389" s="155">
        <v>-616.29999999999995</v>
      </c>
      <c r="E389" s="155">
        <v>-753.7</v>
      </c>
      <c r="F389" s="155">
        <v>-855</v>
      </c>
      <c r="G389" s="155">
        <v>-917.5</v>
      </c>
      <c r="H389" s="155">
        <v>-1045.8</v>
      </c>
    </row>
    <row r="390" spans="1:8" x14ac:dyDescent="0.25">
      <c r="A390" s="154" t="s">
        <v>254</v>
      </c>
      <c r="B390" s="323">
        <v>2097.5059999999999</v>
      </c>
      <c r="C390" s="323">
        <v>2997.9090000000001</v>
      </c>
      <c r="D390" s="323">
        <v>3770.0259999999998</v>
      </c>
      <c r="E390" s="323">
        <v>3625.3789999999999</v>
      </c>
      <c r="F390" s="323">
        <v>3568.3429999999998</v>
      </c>
      <c r="G390" s="323">
        <v>3696.0659999999998</v>
      </c>
      <c r="H390" s="323">
        <v>4134.5590000000002</v>
      </c>
    </row>
    <row r="391" spans="1:8" x14ac:dyDescent="0.25">
      <c r="A391" s="147"/>
      <c r="B391" s="147"/>
      <c r="C391" s="147"/>
      <c r="D391" s="147"/>
      <c r="E391" s="147"/>
      <c r="F391" s="147"/>
      <c r="G391" s="147"/>
      <c r="H391" s="147"/>
    </row>
    <row r="392" spans="1:8" x14ac:dyDescent="0.25">
      <c r="A392" s="147" t="s">
        <v>255</v>
      </c>
      <c r="B392" s="155">
        <v>14703.352000000001</v>
      </c>
      <c r="C392" s="155">
        <v>13747.607</v>
      </c>
      <c r="D392" s="155">
        <v>13799.221</v>
      </c>
      <c r="E392" s="155">
        <v>12732.549000000001</v>
      </c>
      <c r="F392" s="155">
        <v>12722.700999999999</v>
      </c>
      <c r="G392" s="155">
        <v>12422.308999999999</v>
      </c>
      <c r="H392" s="155">
        <v>12182.191999999999</v>
      </c>
    </row>
    <row r="393" spans="1:8" x14ac:dyDescent="0.25">
      <c r="A393" s="147" t="s">
        <v>256</v>
      </c>
      <c r="B393" s="155">
        <v>658.20600000000002</v>
      </c>
      <c r="C393" s="155">
        <v>589.09100000000001</v>
      </c>
      <c r="D393" s="155">
        <v>148.095</v>
      </c>
      <c r="E393" s="155">
        <v>261.541</v>
      </c>
      <c r="F393" s="155">
        <v>1000.76</v>
      </c>
      <c r="G393" s="155">
        <v>1290.1600000000001</v>
      </c>
      <c r="H393" s="155" t="s">
        <v>62</v>
      </c>
    </row>
    <row r="394" spans="1:8" x14ac:dyDescent="0.25">
      <c r="A394" s="147" t="s">
        <v>257</v>
      </c>
      <c r="B394" s="155">
        <v>10338.144</v>
      </c>
      <c r="C394" s="155">
        <v>12184.172</v>
      </c>
      <c r="D394" s="155">
        <v>18797.495999999999</v>
      </c>
      <c r="E394" s="155">
        <v>22708.826000000001</v>
      </c>
      <c r="F394" s="155">
        <v>21522.055</v>
      </c>
      <c r="G394" s="155">
        <v>23121.46</v>
      </c>
      <c r="H394" s="155">
        <v>25655.149000000001</v>
      </c>
    </row>
    <row r="395" spans="1:8" x14ac:dyDescent="0.25">
      <c r="A395" s="154" t="s">
        <v>258</v>
      </c>
      <c r="B395" s="323">
        <v>33975.712</v>
      </c>
      <c r="C395" s="323">
        <v>39280.358999999997</v>
      </c>
      <c r="D395" s="323">
        <v>44584.663</v>
      </c>
      <c r="E395" s="323">
        <v>48594.767999999996</v>
      </c>
      <c r="F395" s="323">
        <v>48731.991999999998</v>
      </c>
      <c r="G395" s="323">
        <v>53630.374000000003</v>
      </c>
      <c r="H395" s="323">
        <v>54934.834999999999</v>
      </c>
    </row>
    <row r="396" spans="1:8" x14ac:dyDescent="0.25">
      <c r="A396" s="147"/>
      <c r="B396" s="147"/>
      <c r="C396" s="147"/>
      <c r="D396" s="147"/>
      <c r="E396" s="147"/>
      <c r="F396" s="147"/>
      <c r="G396" s="147"/>
      <c r="H396" s="147"/>
    </row>
    <row r="397" spans="1:8" x14ac:dyDescent="0.25">
      <c r="A397" s="154" t="s">
        <v>259</v>
      </c>
      <c r="B397" s="147"/>
      <c r="C397" s="147"/>
      <c r="D397" s="147"/>
      <c r="E397" s="147"/>
      <c r="F397" s="147"/>
      <c r="G397" s="147"/>
      <c r="H397" s="147"/>
    </row>
    <row r="398" spans="1:8" x14ac:dyDescent="0.25">
      <c r="A398" s="147" t="s">
        <v>65</v>
      </c>
      <c r="B398" s="155">
        <v>674.34699999999998</v>
      </c>
      <c r="C398" s="155">
        <v>656.18299999999999</v>
      </c>
      <c r="D398" s="155">
        <v>837.48299999999995</v>
      </c>
      <c r="E398" s="155">
        <v>671.51300000000003</v>
      </c>
      <c r="F398" s="155">
        <v>747.41200000000003</v>
      </c>
      <c r="G398" s="155">
        <v>899.90899999999999</v>
      </c>
      <c r="H398" s="155">
        <v>793.23299999999995</v>
      </c>
    </row>
    <row r="399" spans="1:8" x14ac:dyDescent="0.25">
      <c r="A399" s="147" t="s">
        <v>66</v>
      </c>
      <c r="B399" s="155">
        <v>652.42100000000005</v>
      </c>
      <c r="C399" s="155">
        <v>845.97400000000005</v>
      </c>
      <c r="D399" s="155">
        <v>1134.162</v>
      </c>
      <c r="E399" s="155">
        <v>1158.665</v>
      </c>
      <c r="F399" s="155">
        <v>1280.559</v>
      </c>
      <c r="G399" s="155">
        <v>1410.145</v>
      </c>
      <c r="H399" s="155">
        <v>2168.2109999999998</v>
      </c>
    </row>
    <row r="400" spans="1:8" x14ac:dyDescent="0.25">
      <c r="A400" s="147" t="s">
        <v>67</v>
      </c>
      <c r="B400" s="155" t="s">
        <v>62</v>
      </c>
      <c r="C400" s="155">
        <v>499.87799999999999</v>
      </c>
      <c r="D400" s="155">
        <v>699.82299999999998</v>
      </c>
      <c r="E400" s="155" t="s">
        <v>62</v>
      </c>
      <c r="F400" s="155">
        <v>399.84399999999999</v>
      </c>
      <c r="G400" s="155">
        <v>1784.453</v>
      </c>
      <c r="H400" s="155" t="s">
        <v>62</v>
      </c>
    </row>
    <row r="401" spans="1:8" x14ac:dyDescent="0.25">
      <c r="A401" s="147" t="s">
        <v>68</v>
      </c>
      <c r="B401" s="155">
        <v>190.62200000000001</v>
      </c>
      <c r="C401" s="155">
        <v>256.22199999999998</v>
      </c>
      <c r="D401" s="155">
        <v>315.18900000000002</v>
      </c>
      <c r="E401" s="155">
        <v>355.98500000000001</v>
      </c>
      <c r="F401" s="155">
        <v>383.31200000000001</v>
      </c>
      <c r="G401" s="155">
        <v>428.48200000000003</v>
      </c>
      <c r="H401" s="155">
        <v>457.39</v>
      </c>
    </row>
    <row r="402" spans="1:8" x14ac:dyDescent="0.25">
      <c r="A402" s="147" t="s">
        <v>69</v>
      </c>
      <c r="B402" s="155">
        <v>924.745</v>
      </c>
      <c r="C402" s="155">
        <v>1117.992</v>
      </c>
      <c r="D402" s="155">
        <v>1209.3420000000001</v>
      </c>
      <c r="E402" s="155">
        <v>1264.6610000000001</v>
      </c>
      <c r="F402" s="155">
        <v>1442.9690000000001</v>
      </c>
      <c r="G402" s="155">
        <v>1520.8130000000001</v>
      </c>
      <c r="H402" s="155">
        <v>1724.675</v>
      </c>
    </row>
    <row r="403" spans="1:8" x14ac:dyDescent="0.25">
      <c r="A403" s="147" t="s">
        <v>70</v>
      </c>
      <c r="B403" s="155">
        <v>4413.5609999999997</v>
      </c>
      <c r="C403" s="155">
        <v>4429.5360000000001</v>
      </c>
      <c r="D403" s="155">
        <v>4292.9669999999996</v>
      </c>
      <c r="E403" s="155">
        <v>4480.1499999999996</v>
      </c>
      <c r="F403" s="155">
        <v>4606.5590000000002</v>
      </c>
      <c r="G403" s="155">
        <v>4711.598</v>
      </c>
      <c r="H403" s="155">
        <v>4588.3500000000004</v>
      </c>
    </row>
    <row r="404" spans="1:8" x14ac:dyDescent="0.25">
      <c r="A404" s="154" t="s">
        <v>260</v>
      </c>
      <c r="B404" s="323">
        <v>6855.6959999999999</v>
      </c>
      <c r="C404" s="323">
        <v>7805.7849999999999</v>
      </c>
      <c r="D404" s="323">
        <v>8488.9660000000003</v>
      </c>
      <c r="E404" s="323">
        <v>7930.9740000000002</v>
      </c>
      <c r="F404" s="323">
        <v>8860.6550000000007</v>
      </c>
      <c r="G404" s="323">
        <v>10755.4</v>
      </c>
      <c r="H404" s="323">
        <v>9731.8590000000004</v>
      </c>
    </row>
    <row r="405" spans="1:8" x14ac:dyDescent="0.25">
      <c r="A405" s="147"/>
      <c r="B405" s="147"/>
      <c r="C405" s="147"/>
      <c r="D405" s="147"/>
      <c r="E405" s="147"/>
      <c r="F405" s="147"/>
      <c r="G405" s="147"/>
      <c r="H405" s="147"/>
    </row>
    <row r="406" spans="1:8" x14ac:dyDescent="0.25">
      <c r="A406" s="147" t="s">
        <v>81</v>
      </c>
      <c r="B406" s="155">
        <v>14759.26</v>
      </c>
      <c r="C406" s="155">
        <v>15809.094999999999</v>
      </c>
      <c r="D406" s="155">
        <v>14693.072</v>
      </c>
      <c r="E406" s="155">
        <v>14353.075999999999</v>
      </c>
      <c r="F406" s="155">
        <v>14143.416999999999</v>
      </c>
      <c r="G406" s="155">
        <v>13798.351000000001</v>
      </c>
      <c r="H406" s="155">
        <v>14463.02</v>
      </c>
    </row>
    <row r="407" spans="1:8" x14ac:dyDescent="0.25">
      <c r="A407" s="147" t="s">
        <v>82</v>
      </c>
      <c r="B407" s="155">
        <v>1422.6120000000001</v>
      </c>
      <c r="C407" s="155">
        <v>1945.6310000000001</v>
      </c>
      <c r="D407" s="155">
        <v>2408.4859999999999</v>
      </c>
      <c r="E407" s="155">
        <v>2222.5030000000002</v>
      </c>
      <c r="F407" s="155">
        <v>2046.8009999999999</v>
      </c>
      <c r="G407" s="155">
        <v>1983.6880000000001</v>
      </c>
      <c r="H407" s="155">
        <v>2163.1280000000002</v>
      </c>
    </row>
    <row r="408" spans="1:8" x14ac:dyDescent="0.25">
      <c r="A408" s="147" t="s">
        <v>261</v>
      </c>
      <c r="B408" s="155" t="s">
        <v>62</v>
      </c>
      <c r="C408" s="155" t="s">
        <v>62</v>
      </c>
      <c r="D408" s="155" t="s">
        <v>62</v>
      </c>
      <c r="E408" s="155" t="s">
        <v>62</v>
      </c>
      <c r="F408" s="155">
        <v>126.21</v>
      </c>
      <c r="G408" s="155">
        <v>112.602</v>
      </c>
      <c r="H408" s="155" t="s">
        <v>62</v>
      </c>
    </row>
    <row r="409" spans="1:8" x14ac:dyDescent="0.25">
      <c r="A409" s="147" t="s">
        <v>262</v>
      </c>
      <c r="B409" s="155">
        <v>3355.9870000000001</v>
      </c>
      <c r="C409" s="155">
        <v>2654.6080000000002</v>
      </c>
      <c r="D409" s="155">
        <v>3144.8910000000001</v>
      </c>
      <c r="E409" s="155">
        <v>3310.8139999999999</v>
      </c>
      <c r="F409" s="155">
        <v>2966.596</v>
      </c>
      <c r="G409" s="155">
        <v>2236.7660000000001</v>
      </c>
      <c r="H409" s="155">
        <v>2622.7930000000001</v>
      </c>
    </row>
    <row r="410" spans="1:8" x14ac:dyDescent="0.25">
      <c r="A410" s="154" t="s">
        <v>263</v>
      </c>
      <c r="B410" s="323">
        <v>26393.555</v>
      </c>
      <c r="C410" s="323">
        <v>28215.118999999999</v>
      </c>
      <c r="D410" s="323">
        <v>28735.415000000001</v>
      </c>
      <c r="E410" s="323">
        <v>27817.366999999998</v>
      </c>
      <c r="F410" s="323">
        <v>28143.679</v>
      </c>
      <c r="G410" s="323">
        <v>28886.807000000001</v>
      </c>
      <c r="H410" s="323">
        <v>28980.799999999999</v>
      </c>
    </row>
    <row r="411" spans="1:8" x14ac:dyDescent="0.25">
      <c r="A411" s="147"/>
      <c r="B411" s="147"/>
      <c r="C411" s="147"/>
      <c r="D411" s="147"/>
      <c r="E411" s="147"/>
      <c r="F411" s="147"/>
      <c r="G411" s="147"/>
      <c r="H411" s="147"/>
    </row>
    <row r="412" spans="1:8" x14ac:dyDescent="0.25">
      <c r="A412" s="147" t="s">
        <v>264</v>
      </c>
      <c r="B412" s="155">
        <v>2793.9290000000001</v>
      </c>
      <c r="C412" s="155">
        <v>3447.6979999999999</v>
      </c>
      <c r="D412" s="155">
        <v>4024.5610000000001</v>
      </c>
      <c r="E412" s="155">
        <v>4637.6009999999997</v>
      </c>
      <c r="F412" s="155">
        <v>5145.1719999999996</v>
      </c>
      <c r="G412" s="155">
        <v>6252.1260000000002</v>
      </c>
      <c r="H412" s="155">
        <v>7080.3249999999998</v>
      </c>
    </row>
    <row r="413" spans="1:8" x14ac:dyDescent="0.25">
      <c r="A413" s="147" t="s">
        <v>265</v>
      </c>
      <c r="B413" s="155" t="s">
        <v>62</v>
      </c>
      <c r="C413" s="155" t="s">
        <v>62</v>
      </c>
      <c r="D413" s="155" t="s">
        <v>62</v>
      </c>
      <c r="E413" s="155" t="s">
        <v>62</v>
      </c>
      <c r="F413" s="155" t="s">
        <v>62</v>
      </c>
      <c r="G413" s="155" t="s">
        <v>62</v>
      </c>
      <c r="H413" s="155" t="s">
        <v>62</v>
      </c>
    </row>
    <row r="414" spans="1:8" x14ac:dyDescent="0.25">
      <c r="A414" s="147" t="s">
        <v>266</v>
      </c>
      <c r="B414" s="155">
        <v>4811.7489999999998</v>
      </c>
      <c r="C414" s="155">
        <v>7573.1440000000002</v>
      </c>
      <c r="D414" s="155">
        <v>12689.371999999999</v>
      </c>
      <c r="E414" s="155">
        <v>17181.295999999998</v>
      </c>
      <c r="F414" s="155">
        <v>22589.286</v>
      </c>
      <c r="G414" s="155">
        <v>31300.917000000001</v>
      </c>
      <c r="H414" s="155">
        <v>39863.597000000002</v>
      </c>
    </row>
    <row r="415" spans="1:8" x14ac:dyDescent="0.25">
      <c r="A415" s="147" t="s">
        <v>267</v>
      </c>
      <c r="B415" s="155" t="s">
        <v>62</v>
      </c>
      <c r="C415" s="155" t="s">
        <v>62</v>
      </c>
      <c r="D415" s="155">
        <v>-824.2</v>
      </c>
      <c r="E415" s="155">
        <v>-824.2</v>
      </c>
      <c r="F415" s="155">
        <v>-6922.2</v>
      </c>
      <c r="G415" s="155">
        <v>-13171.6</v>
      </c>
      <c r="H415" s="155">
        <v>-20270.599999999999</v>
      </c>
    </row>
    <row r="416" spans="1:8" x14ac:dyDescent="0.25">
      <c r="A416" s="147" t="s">
        <v>268</v>
      </c>
      <c r="B416" s="155">
        <v>-23.5</v>
      </c>
      <c r="C416" s="155">
        <v>44.398000000000003</v>
      </c>
      <c r="D416" s="155">
        <v>-40.5</v>
      </c>
      <c r="E416" s="155">
        <v>-217.3</v>
      </c>
      <c r="F416" s="155">
        <v>-223.9</v>
      </c>
      <c r="G416" s="155">
        <v>362.16199999999998</v>
      </c>
      <c r="H416" s="155">
        <v>-719.3</v>
      </c>
    </row>
    <row r="417" spans="1:8" x14ac:dyDescent="0.25">
      <c r="A417" s="154" t="s">
        <v>269</v>
      </c>
      <c r="B417" s="323">
        <v>7582.1570000000002</v>
      </c>
      <c r="C417" s="323">
        <v>11065.24</v>
      </c>
      <c r="D417" s="323">
        <v>15849.248</v>
      </c>
      <c r="E417" s="323">
        <v>20777.401000000002</v>
      </c>
      <c r="F417" s="323">
        <v>20588.312999999998</v>
      </c>
      <c r="G417" s="323">
        <v>24743.566999999999</v>
      </c>
      <c r="H417" s="323">
        <v>25954.035</v>
      </c>
    </row>
    <row r="418" spans="1:8" x14ac:dyDescent="0.25">
      <c r="A418" s="147"/>
      <c r="B418" s="147"/>
      <c r="C418" s="147"/>
      <c r="D418" s="147"/>
      <c r="E418" s="147"/>
      <c r="F418" s="147"/>
      <c r="G418" s="147"/>
      <c r="H418" s="147"/>
    </row>
    <row r="419" spans="1:8" x14ac:dyDescent="0.25">
      <c r="A419" s="154" t="s">
        <v>270</v>
      </c>
      <c r="B419" s="156">
        <v>7582.1570000000002</v>
      </c>
      <c r="C419" s="156">
        <v>11065.24</v>
      </c>
      <c r="D419" s="156">
        <v>15849.248</v>
      </c>
      <c r="E419" s="156">
        <v>20777.401000000002</v>
      </c>
      <c r="F419" s="156">
        <v>20588.312999999998</v>
      </c>
      <c r="G419" s="156">
        <v>24743.566999999999</v>
      </c>
      <c r="H419" s="156">
        <v>25954.035</v>
      </c>
    </row>
    <row r="420" spans="1:8" x14ac:dyDescent="0.25">
      <c r="A420" s="147"/>
      <c r="B420" s="147"/>
      <c r="C420" s="147"/>
      <c r="D420" s="147"/>
      <c r="E420" s="147"/>
      <c r="F420" s="147"/>
      <c r="G420" s="147"/>
      <c r="H420" s="147"/>
    </row>
    <row r="421" spans="1:8" x14ac:dyDescent="0.25">
      <c r="A421" s="154" t="s">
        <v>271</v>
      </c>
      <c r="B421" s="156">
        <v>33975.712</v>
      </c>
      <c r="C421" s="156">
        <v>39280.358999999997</v>
      </c>
      <c r="D421" s="156">
        <v>44584.663</v>
      </c>
      <c r="E421" s="156">
        <v>48594.767999999996</v>
      </c>
      <c r="F421" s="156">
        <v>48731.991999999998</v>
      </c>
      <c r="G421" s="156">
        <v>53630.374000000003</v>
      </c>
      <c r="H421" s="156">
        <v>54934.834999999999</v>
      </c>
    </row>
    <row r="422" spans="1:8" x14ac:dyDescent="0.25">
      <c r="A422" s="147"/>
      <c r="B422" s="147"/>
      <c r="C422" s="147"/>
      <c r="D422" s="147"/>
      <c r="E422" s="147"/>
      <c r="F422" s="147"/>
      <c r="G422" s="147"/>
      <c r="H422" s="147"/>
    </row>
    <row r="423" spans="1:8" x14ac:dyDescent="0.25">
      <c r="A423" s="154" t="s">
        <v>211</v>
      </c>
      <c r="B423" s="147"/>
      <c r="C423" s="147"/>
      <c r="D423" s="147"/>
      <c r="E423" s="147"/>
      <c r="F423" s="147"/>
      <c r="G423" s="147"/>
      <c r="H423" s="147"/>
    </row>
    <row r="424" spans="1:8" x14ac:dyDescent="0.25">
      <c r="A424" s="147" t="s">
        <v>272</v>
      </c>
      <c r="B424" s="155">
        <v>4388.0664900000002</v>
      </c>
      <c r="C424" s="155">
        <v>4428.9526100000003</v>
      </c>
      <c r="D424" s="155">
        <v>4439.6310700000004</v>
      </c>
      <c r="E424" s="155">
        <v>4453.4677600000005</v>
      </c>
      <c r="F424" s="155">
        <v>4327.59584</v>
      </c>
      <c r="G424" s="155">
        <v>4277.5709999999999</v>
      </c>
      <c r="H424" s="155">
        <v>4237.3233399999999</v>
      </c>
    </row>
    <row r="425" spans="1:8" x14ac:dyDescent="0.25">
      <c r="A425" s="147" t="s">
        <v>273</v>
      </c>
      <c r="B425" s="155">
        <v>4388.0664900000002</v>
      </c>
      <c r="C425" s="155">
        <v>4428.9526100000003</v>
      </c>
      <c r="D425" s="155">
        <v>4439.6310700000004</v>
      </c>
      <c r="E425" s="155">
        <v>4453.4677600000005</v>
      </c>
      <c r="F425" s="155">
        <v>4327.59584</v>
      </c>
      <c r="G425" s="155">
        <v>4277.5709999999999</v>
      </c>
      <c r="H425" s="155">
        <v>4237.3233399999999</v>
      </c>
    </row>
    <row r="426" spans="1:8" x14ac:dyDescent="0.25">
      <c r="A426" s="147" t="s">
        <v>274</v>
      </c>
      <c r="B426" s="163">
        <v>1.73</v>
      </c>
      <c r="C426" s="163">
        <v>2.5</v>
      </c>
      <c r="D426" s="163">
        <v>3.57</v>
      </c>
      <c r="E426" s="163">
        <v>4.67</v>
      </c>
      <c r="F426" s="163">
        <v>4.76</v>
      </c>
      <c r="G426" s="163">
        <v>5.78</v>
      </c>
      <c r="H426" s="163">
        <v>6.13</v>
      </c>
    </row>
    <row r="427" spans="1:8" x14ac:dyDescent="0.25">
      <c r="A427" s="147" t="s">
        <v>275</v>
      </c>
      <c r="B427" s="155">
        <v>-7121.2</v>
      </c>
      <c r="C427" s="155">
        <v>-2682.4</v>
      </c>
      <c r="D427" s="155">
        <v>2050.027</v>
      </c>
      <c r="E427" s="155">
        <v>8044.8519999999999</v>
      </c>
      <c r="F427" s="155">
        <v>7865.6120000000001</v>
      </c>
      <c r="G427" s="155">
        <v>12321.258</v>
      </c>
      <c r="H427" s="155">
        <v>13771.843000000001</v>
      </c>
    </row>
    <row r="428" spans="1:8" x14ac:dyDescent="0.25">
      <c r="A428" s="147" t="s">
        <v>276</v>
      </c>
      <c r="B428" s="163">
        <v>-1.62</v>
      </c>
      <c r="C428" s="163">
        <v>-0.61</v>
      </c>
      <c r="D428" s="163">
        <v>0.46</v>
      </c>
      <c r="E428" s="163">
        <v>1.81</v>
      </c>
      <c r="F428" s="163">
        <v>1.82</v>
      </c>
      <c r="G428" s="163">
        <v>2.88</v>
      </c>
      <c r="H428" s="163">
        <v>3.25</v>
      </c>
    </row>
    <row r="429" spans="1:8" x14ac:dyDescent="0.25">
      <c r="A429" s="147" t="s">
        <v>277</v>
      </c>
      <c r="B429" s="155">
        <v>16372.494000000001</v>
      </c>
      <c r="C429" s="155">
        <v>18510.826000000001</v>
      </c>
      <c r="D429" s="155">
        <v>18116.57</v>
      </c>
      <c r="E429" s="155">
        <v>16931.563999999998</v>
      </c>
      <c r="F429" s="155">
        <v>16973.374</v>
      </c>
      <c r="G429" s="155">
        <v>17994.973999999998</v>
      </c>
      <c r="H429" s="155">
        <v>17083.538</v>
      </c>
    </row>
    <row r="430" spans="1:8" x14ac:dyDescent="0.25">
      <c r="A430" s="147" t="s">
        <v>278</v>
      </c>
      <c r="B430" s="155">
        <v>11354.057000000001</v>
      </c>
      <c r="C430" s="155">
        <v>10305.276</v>
      </c>
      <c r="D430" s="155">
        <v>12088.766</v>
      </c>
      <c r="E430" s="155">
        <v>10873.111999999999</v>
      </c>
      <c r="F430" s="155">
        <v>9835.4879999999994</v>
      </c>
      <c r="G430" s="155">
        <v>8411.2350000000006</v>
      </c>
      <c r="H430" s="155">
        <v>7759.1459999999997</v>
      </c>
    </row>
    <row r="431" spans="1:8" x14ac:dyDescent="0.25">
      <c r="A431" s="147" t="s">
        <v>279</v>
      </c>
      <c r="B431" s="155">
        <v>3583.1120000000001</v>
      </c>
      <c r="C431" s="155">
        <v>3524.0880000000002</v>
      </c>
      <c r="D431" s="155">
        <v>4340.5600000000004</v>
      </c>
      <c r="E431" s="155">
        <v>4867.424</v>
      </c>
      <c r="F431" s="155">
        <v>5109.424</v>
      </c>
      <c r="G431" s="155">
        <v>5327.7839999999997</v>
      </c>
      <c r="H431" s="155" t="s">
        <v>209</v>
      </c>
    </row>
    <row r="432" spans="1:8" x14ac:dyDescent="0.25">
      <c r="A432" s="147" t="s">
        <v>280</v>
      </c>
      <c r="B432" s="167" t="s">
        <v>209</v>
      </c>
      <c r="C432" s="167" t="s">
        <v>209</v>
      </c>
      <c r="D432" s="167" t="s">
        <v>209</v>
      </c>
      <c r="E432" s="167" t="s">
        <v>209</v>
      </c>
      <c r="F432" s="167" t="s">
        <v>209</v>
      </c>
      <c r="G432" s="167" t="s">
        <v>209</v>
      </c>
      <c r="H432" s="167" t="s">
        <v>209</v>
      </c>
    </row>
    <row r="433" spans="1:8" x14ac:dyDescent="0.25">
      <c r="A433" s="147" t="s">
        <v>51</v>
      </c>
      <c r="B433" s="155">
        <v>6.125</v>
      </c>
      <c r="C433" s="155">
        <v>50.7</v>
      </c>
      <c r="D433" s="155">
        <v>82.381</v>
      </c>
      <c r="E433" s="155">
        <v>85.004999999999995</v>
      </c>
      <c r="F433" s="155">
        <v>85</v>
      </c>
      <c r="G433" s="155">
        <v>85</v>
      </c>
      <c r="H433" s="155">
        <v>80.965999999999994</v>
      </c>
    </row>
    <row r="434" spans="1:8" x14ac:dyDescent="0.25">
      <c r="A434" s="147" t="s">
        <v>281</v>
      </c>
      <c r="B434" s="155">
        <v>33.140999999999998</v>
      </c>
      <c r="C434" s="155">
        <v>42.716999999999999</v>
      </c>
      <c r="D434" s="155">
        <v>48.122999999999998</v>
      </c>
      <c r="E434" s="155">
        <v>52.106000000000002</v>
      </c>
      <c r="F434" s="155">
        <v>154.16499999999999</v>
      </c>
      <c r="G434" s="155">
        <v>475.68400000000003</v>
      </c>
      <c r="H434" s="155">
        <v>508.86099999999999</v>
      </c>
    </row>
    <row r="435" spans="1:8" x14ac:dyDescent="0.25">
      <c r="A435" s="147" t="s">
        <v>282</v>
      </c>
      <c r="B435" s="155">
        <v>242.875</v>
      </c>
      <c r="C435" s="155">
        <v>255.447</v>
      </c>
      <c r="D435" s="155">
        <v>283.21300000000002</v>
      </c>
      <c r="E435" s="155">
        <v>296.08100000000002</v>
      </c>
      <c r="F435" s="155">
        <v>254.24600000000001</v>
      </c>
      <c r="G435" s="155">
        <v>249.297</v>
      </c>
      <c r="H435" s="155">
        <v>246.93</v>
      </c>
    </row>
    <row r="436" spans="1:8" x14ac:dyDescent="0.25">
      <c r="A436" s="147" t="s">
        <v>283</v>
      </c>
      <c r="B436" s="155">
        <v>100.521</v>
      </c>
      <c r="C436" s="155">
        <v>298.55799999999999</v>
      </c>
      <c r="D436" s="155">
        <v>282.24799999999999</v>
      </c>
      <c r="E436" s="155">
        <v>235.55500000000001</v>
      </c>
      <c r="F436" s="155">
        <v>406.49200000000002</v>
      </c>
      <c r="G436" s="155">
        <v>228.3</v>
      </c>
      <c r="H436" s="155">
        <v>442.67700000000002</v>
      </c>
    </row>
    <row r="437" spans="1:8" x14ac:dyDescent="0.25">
      <c r="A437" s="147" t="s">
        <v>284</v>
      </c>
      <c r="B437" s="155">
        <v>354.99900000000002</v>
      </c>
      <c r="C437" s="155">
        <v>524.53700000000003</v>
      </c>
      <c r="D437" s="155">
        <v>863.34199999999998</v>
      </c>
      <c r="E437" s="155">
        <v>1040.57</v>
      </c>
      <c r="F437" s="155">
        <v>1032.492</v>
      </c>
      <c r="G437" s="155">
        <v>1026.5930000000001</v>
      </c>
      <c r="H437" s="155">
        <v>1077.182</v>
      </c>
    </row>
    <row r="438" spans="1:8" x14ac:dyDescent="0.25">
      <c r="A438" s="147" t="s">
        <v>285</v>
      </c>
      <c r="B438" s="169">
        <v>8600</v>
      </c>
      <c r="C438" s="169">
        <v>9400</v>
      </c>
      <c r="D438" s="169">
        <v>11300</v>
      </c>
      <c r="E438" s="169">
        <v>12800</v>
      </c>
      <c r="F438" s="169">
        <v>13000</v>
      </c>
      <c r="G438" s="169">
        <v>14000</v>
      </c>
      <c r="H438" s="169" t="s">
        <v>209</v>
      </c>
    </row>
    <row r="439" spans="1:8" x14ac:dyDescent="0.25">
      <c r="A439" s="147" t="s">
        <v>108</v>
      </c>
      <c r="B439" s="157">
        <v>44588</v>
      </c>
      <c r="C439" s="157">
        <v>44588</v>
      </c>
      <c r="D439" s="157">
        <v>45317</v>
      </c>
      <c r="E439" s="157">
        <v>45684</v>
      </c>
      <c r="F439" s="157">
        <v>45684</v>
      </c>
      <c r="G439" s="157">
        <v>45684</v>
      </c>
      <c r="H439" s="157">
        <v>45952</v>
      </c>
    </row>
    <row r="440" spans="1:8" x14ac:dyDescent="0.25">
      <c r="A440" s="147" t="s">
        <v>225</v>
      </c>
      <c r="B440" s="167" t="s">
        <v>286</v>
      </c>
      <c r="C440" s="167" t="s">
        <v>226</v>
      </c>
      <c r="D440" s="167" t="s">
        <v>226</v>
      </c>
      <c r="E440" s="167" t="s">
        <v>226</v>
      </c>
      <c r="F440" s="167" t="s">
        <v>226</v>
      </c>
      <c r="G440" s="167" t="s">
        <v>227</v>
      </c>
      <c r="H440" s="167" t="s">
        <v>227</v>
      </c>
    </row>
    <row r="441" spans="1:8" x14ac:dyDescent="0.25">
      <c r="A441" s="147" t="s">
        <v>228</v>
      </c>
      <c r="B441" s="167" t="s">
        <v>287</v>
      </c>
      <c r="C441" s="167" t="s">
        <v>229</v>
      </c>
      <c r="D441" s="167" t="s">
        <v>287</v>
      </c>
      <c r="E441" s="167" t="s">
        <v>287</v>
      </c>
      <c r="F441" s="167" t="s">
        <v>229</v>
      </c>
      <c r="G441" s="167" t="s">
        <v>229</v>
      </c>
      <c r="H441" s="167" t="s">
        <v>229</v>
      </c>
    </row>
    <row r="445" spans="1:8" x14ac:dyDescent="0.25">
      <c r="A445" s="143" t="s">
        <v>288</v>
      </c>
      <c r="B445" s="144"/>
      <c r="C445" s="144"/>
      <c r="D445" s="144"/>
      <c r="E445" s="144"/>
      <c r="F445" s="144"/>
      <c r="G445" s="144"/>
      <c r="H445" s="144"/>
    </row>
    <row r="446" spans="1:8" x14ac:dyDescent="0.25">
      <c r="A446" s="144"/>
      <c r="B446" s="144"/>
      <c r="C446" s="144"/>
      <c r="D446" s="144"/>
      <c r="E446" s="144"/>
      <c r="F446" s="144"/>
      <c r="G446" s="144"/>
      <c r="H446" s="144"/>
    </row>
    <row r="447" spans="1:8" x14ac:dyDescent="0.25">
      <c r="A447" s="145" t="s">
        <v>164</v>
      </c>
      <c r="B447" s="146" t="s">
        <v>165</v>
      </c>
      <c r="C447" s="144" t="s">
        <v>166</v>
      </c>
      <c r="D447" s="147" t="s">
        <v>113</v>
      </c>
      <c r="E447" s="146" t="s">
        <v>114</v>
      </c>
      <c r="F447" s="144" t="s">
        <v>115</v>
      </c>
      <c r="G447" s="144"/>
      <c r="H447" s="144"/>
    </row>
    <row r="448" spans="1:8" x14ac:dyDescent="0.25">
      <c r="A448" s="147"/>
      <c r="B448" s="146" t="s">
        <v>116</v>
      </c>
      <c r="C448" s="144" t="s">
        <v>117</v>
      </c>
      <c r="D448" s="147" t="s">
        <v>113</v>
      </c>
      <c r="E448" s="146" t="s">
        <v>118</v>
      </c>
      <c r="F448" s="144" t="s">
        <v>119</v>
      </c>
      <c r="G448" s="144"/>
      <c r="H448" s="144"/>
    </row>
    <row r="449" spans="1:8" x14ac:dyDescent="0.25">
      <c r="A449" s="147"/>
      <c r="B449" s="146" t="s">
        <v>120</v>
      </c>
      <c r="C449" s="144" t="s">
        <v>121</v>
      </c>
      <c r="D449" s="147" t="s">
        <v>113</v>
      </c>
      <c r="E449" s="146" t="s">
        <v>122</v>
      </c>
      <c r="F449" s="144" t="s">
        <v>123</v>
      </c>
      <c r="G449" s="144"/>
      <c r="H449" s="144"/>
    </row>
    <row r="450" spans="1:8" x14ac:dyDescent="0.25">
      <c r="A450" s="147"/>
      <c r="B450" s="146" t="s">
        <v>124</v>
      </c>
      <c r="C450" s="144" t="s">
        <v>125</v>
      </c>
      <c r="D450" s="147" t="s">
        <v>113</v>
      </c>
      <c r="E450" s="146" t="s">
        <v>126</v>
      </c>
      <c r="F450" s="148" t="s">
        <v>127</v>
      </c>
      <c r="G450" s="144"/>
      <c r="H450" s="144"/>
    </row>
    <row r="451" spans="1:8" x14ac:dyDescent="0.25">
      <c r="A451" s="147"/>
      <c r="B451" s="146" t="s">
        <v>167</v>
      </c>
      <c r="C451" s="144" t="s">
        <v>168</v>
      </c>
      <c r="D451" s="147" t="s">
        <v>113</v>
      </c>
      <c r="E451" s="158"/>
      <c r="F451" s="158"/>
      <c r="G451" s="144"/>
      <c r="H451" s="144"/>
    </row>
    <row r="452" spans="1:8" x14ac:dyDescent="0.25">
      <c r="A452" s="144"/>
      <c r="B452" s="144"/>
      <c r="C452" s="144"/>
      <c r="D452" s="144"/>
      <c r="E452" s="144"/>
      <c r="F452" s="144"/>
      <c r="G452" s="144"/>
      <c r="H452" s="144"/>
    </row>
    <row r="453" spans="1:8" x14ac:dyDescent="0.25">
      <c r="A453" s="144"/>
      <c r="B453" s="144"/>
      <c r="C453" s="144"/>
      <c r="D453" s="144"/>
      <c r="E453" s="144"/>
      <c r="F453" s="144"/>
      <c r="G453" s="144"/>
      <c r="H453" s="144"/>
    </row>
    <row r="454" spans="1:8" x14ac:dyDescent="0.25">
      <c r="A454" s="149" t="s">
        <v>289</v>
      </c>
      <c r="B454" s="149"/>
      <c r="C454" s="149"/>
      <c r="D454" s="149"/>
      <c r="E454" s="149"/>
      <c r="F454" s="149"/>
      <c r="G454" s="149"/>
      <c r="H454" s="149"/>
    </row>
    <row r="455" spans="1:8" ht="47.25" x14ac:dyDescent="0.25">
      <c r="A455" s="150" t="s">
        <v>129</v>
      </c>
      <c r="B455" s="151" t="s">
        <v>130</v>
      </c>
      <c r="C455" s="151" t="s">
        <v>131</v>
      </c>
      <c r="D455" s="151" t="s">
        <v>132</v>
      </c>
      <c r="E455" s="151" t="s">
        <v>133</v>
      </c>
      <c r="F455" s="151" t="s">
        <v>134</v>
      </c>
      <c r="G455" s="151" t="s">
        <v>135</v>
      </c>
      <c r="H455" s="151" t="s">
        <v>170</v>
      </c>
    </row>
    <row r="456" spans="1:8" x14ac:dyDescent="0.25">
      <c r="A456" s="152" t="s">
        <v>136</v>
      </c>
      <c r="B456" s="153" t="s">
        <v>137</v>
      </c>
      <c r="C456" s="153" t="s">
        <v>137</v>
      </c>
      <c r="D456" s="153" t="s">
        <v>137</v>
      </c>
      <c r="E456" s="153" t="s">
        <v>137</v>
      </c>
      <c r="F456" s="153" t="s">
        <v>137</v>
      </c>
      <c r="G456" s="153" t="s">
        <v>137</v>
      </c>
      <c r="H456" s="153" t="s">
        <v>137</v>
      </c>
    </row>
    <row r="457" spans="1:8" x14ac:dyDescent="0.25">
      <c r="A457" s="154" t="s">
        <v>155</v>
      </c>
      <c r="B457" s="147"/>
      <c r="C457" s="147"/>
      <c r="D457" s="147"/>
      <c r="E457" s="147"/>
      <c r="F457" s="147"/>
      <c r="G457" s="147"/>
      <c r="H457" s="147"/>
    </row>
    <row r="458" spans="1:8" x14ac:dyDescent="0.25">
      <c r="A458" s="154" t="s">
        <v>290</v>
      </c>
      <c r="B458" s="156">
        <v>1866.9159999999999</v>
      </c>
      <c r="C458" s="156">
        <v>2761.395</v>
      </c>
      <c r="D458" s="156">
        <v>5116.2280000000001</v>
      </c>
      <c r="E458" s="156">
        <v>4491.924</v>
      </c>
      <c r="F458" s="156">
        <v>5407.99</v>
      </c>
      <c r="G458" s="156">
        <v>8711.6309999999994</v>
      </c>
      <c r="H458" s="156">
        <v>10431.287</v>
      </c>
    </row>
    <row r="459" spans="1:8" x14ac:dyDescent="0.25">
      <c r="A459" s="147" t="s">
        <v>177</v>
      </c>
      <c r="B459" s="155">
        <v>103.57899999999999</v>
      </c>
      <c r="C459" s="155">
        <v>115.71</v>
      </c>
      <c r="D459" s="155">
        <v>208.41200000000001</v>
      </c>
      <c r="E459" s="155">
        <v>336.68200000000002</v>
      </c>
      <c r="F459" s="155">
        <v>356.947</v>
      </c>
      <c r="G459" s="155">
        <v>328.91399999999999</v>
      </c>
      <c r="H459" s="155">
        <v>326.94499999999999</v>
      </c>
    </row>
    <row r="460" spans="1:8" x14ac:dyDescent="0.25">
      <c r="A460" s="154" t="s">
        <v>291</v>
      </c>
      <c r="B460" s="323">
        <v>103.57899999999999</v>
      </c>
      <c r="C460" s="323">
        <v>115.71</v>
      </c>
      <c r="D460" s="323">
        <v>208.41200000000001</v>
      </c>
      <c r="E460" s="323">
        <v>336.68200000000002</v>
      </c>
      <c r="F460" s="323">
        <v>356.947</v>
      </c>
      <c r="G460" s="323">
        <v>328.91399999999999</v>
      </c>
      <c r="H460" s="323">
        <v>326.94499999999999</v>
      </c>
    </row>
    <row r="461" spans="1:8" x14ac:dyDescent="0.25">
      <c r="A461" s="147"/>
      <c r="B461" s="147"/>
      <c r="C461" s="147"/>
      <c r="D461" s="147"/>
      <c r="E461" s="147"/>
      <c r="F461" s="147"/>
      <c r="G461" s="147"/>
      <c r="H461" s="147"/>
    </row>
    <row r="462" spans="1:8" x14ac:dyDescent="0.25">
      <c r="A462" s="147" t="s">
        <v>292</v>
      </c>
      <c r="B462" s="155">
        <v>9216.2469999999994</v>
      </c>
      <c r="C462" s="155">
        <v>10806.912</v>
      </c>
      <c r="D462" s="155">
        <v>12230.367</v>
      </c>
      <c r="E462" s="155">
        <v>14026.132</v>
      </c>
      <c r="F462" s="155">
        <v>14197.437</v>
      </c>
      <c r="G462" s="155">
        <v>15301.517</v>
      </c>
      <c r="H462" s="155">
        <v>15819.431</v>
      </c>
    </row>
    <row r="463" spans="1:8" x14ac:dyDescent="0.25">
      <c r="A463" s="147" t="s">
        <v>293</v>
      </c>
      <c r="B463" s="155">
        <v>405.37599999999998</v>
      </c>
      <c r="C463" s="155">
        <v>415.18</v>
      </c>
      <c r="D463" s="155">
        <v>403.22</v>
      </c>
      <c r="E463" s="155">
        <v>575.452</v>
      </c>
      <c r="F463" s="155">
        <v>339.36799999999999</v>
      </c>
      <c r="G463" s="155">
        <v>272.58800000000002</v>
      </c>
      <c r="H463" s="155">
        <v>295.65199999999999</v>
      </c>
    </row>
    <row r="464" spans="1:8" x14ac:dyDescent="0.25">
      <c r="A464" s="147" t="s">
        <v>294</v>
      </c>
      <c r="B464" s="155">
        <v>-14522.5</v>
      </c>
      <c r="C464" s="155">
        <v>-11640.2</v>
      </c>
      <c r="D464" s="155">
        <v>-17323.599999999999</v>
      </c>
      <c r="E464" s="155">
        <v>-16645.8</v>
      </c>
      <c r="F464" s="155">
        <v>-12911.3</v>
      </c>
      <c r="G464" s="155">
        <v>-17220.2</v>
      </c>
      <c r="H464" s="155">
        <v>-17024.5</v>
      </c>
    </row>
    <row r="465" spans="1:8" x14ac:dyDescent="0.25">
      <c r="A465" s="147" t="s">
        <v>295</v>
      </c>
      <c r="B465" s="155">
        <v>96.063000000000002</v>
      </c>
      <c r="C465" s="155">
        <v>-41.6</v>
      </c>
      <c r="D465" s="155">
        <v>145.11500000000001</v>
      </c>
      <c r="E465" s="155">
        <v>-158.5</v>
      </c>
      <c r="F465" s="155">
        <v>93.501999999999995</v>
      </c>
      <c r="G465" s="155">
        <v>121.35299999999999</v>
      </c>
      <c r="H465" s="155">
        <v>129.44999999999999</v>
      </c>
    </row>
    <row r="466" spans="1:8" x14ac:dyDescent="0.25">
      <c r="A466" s="147" t="s">
        <v>296</v>
      </c>
      <c r="B466" s="155">
        <v>163.846</v>
      </c>
      <c r="C466" s="155">
        <v>193.24700000000001</v>
      </c>
      <c r="D466" s="155">
        <v>91.35</v>
      </c>
      <c r="E466" s="155">
        <v>27.356000000000002</v>
      </c>
      <c r="F466" s="155">
        <v>178.708</v>
      </c>
      <c r="G466" s="155">
        <v>77.843999999999994</v>
      </c>
      <c r="H466" s="155">
        <v>211.62700000000001</v>
      </c>
    </row>
    <row r="467" spans="1:8" x14ac:dyDescent="0.25">
      <c r="A467" s="147" t="s">
        <v>297</v>
      </c>
      <c r="B467" s="155">
        <v>-216.9</v>
      </c>
      <c r="C467" s="155">
        <v>-183.5</v>
      </c>
      <c r="D467" s="155">
        <v>-478.4</v>
      </c>
      <c r="E467" s="155">
        <v>-626.9</v>
      </c>
      <c r="F467" s="155">
        <v>-388.4</v>
      </c>
      <c r="G467" s="155">
        <v>-232.3</v>
      </c>
      <c r="H467" s="155">
        <v>-615.4</v>
      </c>
    </row>
    <row r="468" spans="1:8" x14ac:dyDescent="0.25">
      <c r="A468" s="154" t="s">
        <v>298</v>
      </c>
      <c r="B468" s="323">
        <v>-2887.3</v>
      </c>
      <c r="C468" s="323">
        <v>2427.0770000000002</v>
      </c>
      <c r="D468" s="323">
        <v>392.61</v>
      </c>
      <c r="E468" s="323">
        <v>2026.2570000000001</v>
      </c>
      <c r="F468" s="323">
        <v>7274.3010000000004</v>
      </c>
      <c r="G468" s="323">
        <v>7361.3639999999996</v>
      </c>
      <c r="H468" s="323">
        <v>9574.5249999999996</v>
      </c>
    </row>
    <row r="469" spans="1:8" x14ac:dyDescent="0.25">
      <c r="A469" s="147"/>
      <c r="B469" s="147"/>
      <c r="C469" s="147"/>
      <c r="D469" s="147"/>
      <c r="E469" s="147"/>
      <c r="F469" s="147"/>
      <c r="G469" s="147"/>
      <c r="H469" s="147"/>
    </row>
    <row r="470" spans="1:8" x14ac:dyDescent="0.25">
      <c r="A470" s="147" t="s">
        <v>153</v>
      </c>
      <c r="B470" s="155">
        <v>-253</v>
      </c>
      <c r="C470" s="155">
        <v>-497.9</v>
      </c>
      <c r="D470" s="155">
        <v>-524.6</v>
      </c>
      <c r="E470" s="155">
        <v>-407.7</v>
      </c>
      <c r="F470" s="155">
        <v>-348.6</v>
      </c>
      <c r="G470" s="155">
        <v>-439.5</v>
      </c>
      <c r="H470" s="155">
        <v>-607.6</v>
      </c>
    </row>
    <row r="471" spans="1:8" x14ac:dyDescent="0.25">
      <c r="A471" s="147" t="s">
        <v>299</v>
      </c>
      <c r="B471" s="155" t="s">
        <v>62</v>
      </c>
      <c r="C471" s="155" t="s">
        <v>62</v>
      </c>
      <c r="D471" s="155">
        <v>-788.3</v>
      </c>
      <c r="E471" s="155">
        <v>-757.4</v>
      </c>
      <c r="F471" s="155" t="s">
        <v>62</v>
      </c>
      <c r="G471" s="155" t="s">
        <v>62</v>
      </c>
      <c r="H471" s="155" t="s">
        <v>62</v>
      </c>
    </row>
    <row r="472" spans="1:8" x14ac:dyDescent="0.25">
      <c r="A472" s="147" t="s">
        <v>300</v>
      </c>
      <c r="B472" s="155" t="s">
        <v>62</v>
      </c>
      <c r="C472" s="155" t="s">
        <v>62</v>
      </c>
      <c r="D472" s="155" t="s">
        <v>62</v>
      </c>
      <c r="E472" s="155" t="s">
        <v>62</v>
      </c>
      <c r="F472" s="155" t="s">
        <v>62</v>
      </c>
      <c r="G472" s="155" t="s">
        <v>62</v>
      </c>
      <c r="H472" s="155" t="s">
        <v>62</v>
      </c>
    </row>
    <row r="473" spans="1:8" x14ac:dyDescent="0.25">
      <c r="A473" s="147" t="s">
        <v>301</v>
      </c>
      <c r="B473" s="155" t="s">
        <v>62</v>
      </c>
      <c r="C473" s="155" t="s">
        <v>62</v>
      </c>
      <c r="D473" s="155" t="s">
        <v>62</v>
      </c>
      <c r="E473" s="155">
        <v>-911.3</v>
      </c>
      <c r="F473" s="155">
        <v>890.303</v>
      </c>
      <c r="G473" s="155">
        <v>-1742.2</v>
      </c>
      <c r="H473" s="155">
        <v>1747.1020000000001</v>
      </c>
    </row>
    <row r="474" spans="1:8" x14ac:dyDescent="0.25">
      <c r="A474" s="147" t="s">
        <v>302</v>
      </c>
      <c r="B474" s="155" t="s">
        <v>62</v>
      </c>
      <c r="C474" s="155" t="s">
        <v>62</v>
      </c>
      <c r="D474" s="155" t="s">
        <v>62</v>
      </c>
      <c r="E474" s="155" t="s">
        <v>62</v>
      </c>
      <c r="F474" s="155" t="s">
        <v>62</v>
      </c>
      <c r="G474" s="155" t="s">
        <v>62</v>
      </c>
      <c r="H474" s="155" t="s">
        <v>62</v>
      </c>
    </row>
    <row r="475" spans="1:8" x14ac:dyDescent="0.25">
      <c r="A475" s="147" t="s">
        <v>303</v>
      </c>
      <c r="B475" s="155">
        <v>-134</v>
      </c>
      <c r="C475" s="155">
        <v>-7.4</v>
      </c>
      <c r="D475" s="155">
        <v>-26.9</v>
      </c>
      <c r="E475" s="155" t="s">
        <v>62</v>
      </c>
      <c r="F475" s="155" t="s">
        <v>62</v>
      </c>
      <c r="G475" s="155" t="s">
        <v>62</v>
      </c>
      <c r="H475" s="155" t="s">
        <v>62</v>
      </c>
    </row>
    <row r="476" spans="1:8" x14ac:dyDescent="0.25">
      <c r="A476" s="154" t="s">
        <v>304</v>
      </c>
      <c r="B476" s="323">
        <v>-387.1</v>
      </c>
      <c r="C476" s="323">
        <v>-505.4</v>
      </c>
      <c r="D476" s="323">
        <v>-1339.9</v>
      </c>
      <c r="E476" s="323">
        <v>-2076.4</v>
      </c>
      <c r="F476" s="323">
        <v>541.75099999999998</v>
      </c>
      <c r="G476" s="323">
        <v>-2181.8000000000002</v>
      </c>
      <c r="H476" s="323">
        <v>1139.5429999999999</v>
      </c>
    </row>
    <row r="477" spans="1:8" x14ac:dyDescent="0.25">
      <c r="A477" s="147"/>
      <c r="B477" s="147"/>
      <c r="C477" s="147"/>
      <c r="D477" s="147"/>
      <c r="E477" s="147"/>
      <c r="F477" s="147"/>
      <c r="G477" s="147"/>
      <c r="H477" s="147"/>
    </row>
    <row r="478" spans="1:8" x14ac:dyDescent="0.25">
      <c r="A478" s="147" t="s">
        <v>305</v>
      </c>
      <c r="B478" s="155" t="s">
        <v>62</v>
      </c>
      <c r="C478" s="155" t="s">
        <v>62</v>
      </c>
      <c r="D478" s="155" t="s">
        <v>62</v>
      </c>
      <c r="E478" s="155" t="s">
        <v>62</v>
      </c>
      <c r="F478" s="155" t="s">
        <v>62</v>
      </c>
      <c r="G478" s="155" t="s">
        <v>62</v>
      </c>
      <c r="H478" s="155" t="s">
        <v>62</v>
      </c>
    </row>
    <row r="479" spans="1:8" x14ac:dyDescent="0.25">
      <c r="A479" s="147" t="s">
        <v>306</v>
      </c>
      <c r="B479" s="155">
        <v>4469.3059999999996</v>
      </c>
      <c r="C479" s="155">
        <v>1009.4640000000001</v>
      </c>
      <c r="D479" s="155" t="s">
        <v>62</v>
      </c>
      <c r="E479" s="155" t="s">
        <v>62</v>
      </c>
      <c r="F479" s="155" t="s">
        <v>62</v>
      </c>
      <c r="G479" s="155">
        <v>1794.46</v>
      </c>
      <c r="H479" s="155" t="s">
        <v>62</v>
      </c>
    </row>
    <row r="480" spans="1:8" x14ac:dyDescent="0.25">
      <c r="A480" s="154" t="s">
        <v>307</v>
      </c>
      <c r="B480" s="323">
        <v>4469.3059999999996</v>
      </c>
      <c r="C480" s="323">
        <v>1009.4640000000001</v>
      </c>
      <c r="D480" s="323" t="s">
        <v>62</v>
      </c>
      <c r="E480" s="323" t="s">
        <v>62</v>
      </c>
      <c r="F480" s="323" t="s">
        <v>62</v>
      </c>
      <c r="G480" s="323">
        <v>1794.46</v>
      </c>
      <c r="H480" s="323">
        <v>0</v>
      </c>
    </row>
    <row r="481" spans="1:8" x14ac:dyDescent="0.25">
      <c r="A481" s="147" t="s">
        <v>308</v>
      </c>
      <c r="B481" s="155" t="s">
        <v>62</v>
      </c>
      <c r="C481" s="155" t="s">
        <v>62</v>
      </c>
      <c r="D481" s="155" t="s">
        <v>62</v>
      </c>
      <c r="E481" s="155" t="s">
        <v>62</v>
      </c>
      <c r="F481" s="155" t="s">
        <v>62</v>
      </c>
      <c r="G481" s="155" t="s">
        <v>62</v>
      </c>
      <c r="H481" s="155" t="s">
        <v>62</v>
      </c>
    </row>
    <row r="482" spans="1:8" x14ac:dyDescent="0.25">
      <c r="A482" s="147" t="s">
        <v>309</v>
      </c>
      <c r="B482" s="155" t="s">
        <v>62</v>
      </c>
      <c r="C482" s="155" t="s">
        <v>62</v>
      </c>
      <c r="D482" s="155">
        <v>-500</v>
      </c>
      <c r="E482" s="155">
        <v>-700</v>
      </c>
      <c r="F482" s="155" t="s">
        <v>62</v>
      </c>
      <c r="G482" s="155">
        <v>-400</v>
      </c>
      <c r="H482" s="155" t="s">
        <v>62</v>
      </c>
    </row>
    <row r="483" spans="1:8" x14ac:dyDescent="0.25">
      <c r="A483" s="154" t="s">
        <v>310</v>
      </c>
      <c r="B483" s="323" t="s">
        <v>62</v>
      </c>
      <c r="C483" s="323" t="s">
        <v>62</v>
      </c>
      <c r="D483" s="323">
        <v>-500</v>
      </c>
      <c r="E483" s="323">
        <v>-700</v>
      </c>
      <c r="F483" s="323" t="s">
        <v>62</v>
      </c>
      <c r="G483" s="323">
        <v>-400</v>
      </c>
      <c r="H483" s="323">
        <v>-1833.5</v>
      </c>
    </row>
    <row r="484" spans="1:8" x14ac:dyDescent="0.25">
      <c r="A484" s="147"/>
      <c r="B484" s="147"/>
      <c r="C484" s="147"/>
      <c r="D484" s="147"/>
      <c r="E484" s="147"/>
      <c r="F484" s="147"/>
      <c r="G484" s="147"/>
      <c r="H484" s="147"/>
    </row>
    <row r="485" spans="1:8" x14ac:dyDescent="0.25">
      <c r="A485" s="147" t="s">
        <v>311</v>
      </c>
      <c r="B485" s="155">
        <v>72.489999999999995</v>
      </c>
      <c r="C485" s="155">
        <v>235.40600000000001</v>
      </c>
      <c r="D485" s="155">
        <v>174.41399999999999</v>
      </c>
      <c r="E485" s="155">
        <v>35.746000000000002</v>
      </c>
      <c r="F485" s="155">
        <v>169.99</v>
      </c>
      <c r="G485" s="155">
        <v>832.88699999999994</v>
      </c>
      <c r="H485" s="155">
        <v>892.89499999999998</v>
      </c>
    </row>
    <row r="486" spans="1:8" x14ac:dyDescent="0.25">
      <c r="A486" s="147" t="s">
        <v>312</v>
      </c>
      <c r="B486" s="155" t="s">
        <v>62</v>
      </c>
      <c r="C486" s="155" t="s">
        <v>62</v>
      </c>
      <c r="D486" s="155">
        <v>-824.2</v>
      </c>
      <c r="E486" s="155" t="s">
        <v>62</v>
      </c>
      <c r="F486" s="155">
        <v>-6045.3</v>
      </c>
      <c r="G486" s="155">
        <v>-6272</v>
      </c>
      <c r="H486" s="155">
        <v>-8054.1</v>
      </c>
    </row>
    <row r="487" spans="1:8" x14ac:dyDescent="0.25">
      <c r="A487" s="147"/>
      <c r="B487" s="147"/>
      <c r="C487" s="147"/>
      <c r="D487" s="147"/>
      <c r="E487" s="147"/>
      <c r="F487" s="147"/>
      <c r="G487" s="147"/>
      <c r="H487" s="147"/>
    </row>
    <row r="488" spans="1:8" x14ac:dyDescent="0.25">
      <c r="A488" s="154" t="s">
        <v>313</v>
      </c>
      <c r="B488" s="323" t="s">
        <v>62</v>
      </c>
      <c r="C488" s="323" t="s">
        <v>62</v>
      </c>
      <c r="D488" s="323" t="s">
        <v>62</v>
      </c>
      <c r="E488" s="323" t="s">
        <v>62</v>
      </c>
      <c r="F488" s="323" t="s">
        <v>62</v>
      </c>
      <c r="G488" s="323" t="s">
        <v>62</v>
      </c>
      <c r="H488" s="323" t="s">
        <v>62</v>
      </c>
    </row>
    <row r="489" spans="1:8" x14ac:dyDescent="0.25">
      <c r="A489" s="147"/>
      <c r="B489" s="147"/>
      <c r="C489" s="147"/>
      <c r="D489" s="147"/>
      <c r="E489" s="147"/>
      <c r="F489" s="147"/>
      <c r="G489" s="147"/>
      <c r="H489" s="147"/>
    </row>
    <row r="490" spans="1:8" x14ac:dyDescent="0.25">
      <c r="A490" s="147" t="s">
        <v>314</v>
      </c>
      <c r="B490" s="155" t="s">
        <v>62</v>
      </c>
      <c r="C490" s="155" t="s">
        <v>62</v>
      </c>
      <c r="D490" s="155" t="s">
        <v>62</v>
      </c>
      <c r="E490" s="155" t="s">
        <v>62</v>
      </c>
      <c r="F490" s="155" t="s">
        <v>62</v>
      </c>
      <c r="G490" s="155" t="s">
        <v>62</v>
      </c>
      <c r="H490" s="155" t="s">
        <v>62</v>
      </c>
    </row>
    <row r="491" spans="1:8" x14ac:dyDescent="0.25">
      <c r="A491" s="147" t="s">
        <v>315</v>
      </c>
      <c r="B491" s="155">
        <v>-36.1</v>
      </c>
      <c r="C491" s="155">
        <v>-7.6</v>
      </c>
      <c r="D491" s="155" t="s">
        <v>62</v>
      </c>
      <c r="E491" s="155" t="s">
        <v>62</v>
      </c>
      <c r="F491" s="155">
        <v>-75.400000000000006</v>
      </c>
      <c r="G491" s="155">
        <v>-29.7</v>
      </c>
      <c r="H491" s="155">
        <v>47.732999999999997</v>
      </c>
    </row>
    <row r="492" spans="1:8" x14ac:dyDescent="0.25">
      <c r="A492" s="154" t="s">
        <v>316</v>
      </c>
      <c r="B492" s="323">
        <v>4505.6620000000003</v>
      </c>
      <c r="C492" s="323">
        <v>1237.3109999999999</v>
      </c>
      <c r="D492" s="323">
        <v>-1149.8</v>
      </c>
      <c r="E492" s="323">
        <v>-664.3</v>
      </c>
      <c r="F492" s="323">
        <v>-5950.8</v>
      </c>
      <c r="G492" s="323">
        <v>-4074.4</v>
      </c>
      <c r="H492" s="323">
        <v>-8946.9</v>
      </c>
    </row>
    <row r="493" spans="1:8" x14ac:dyDescent="0.25">
      <c r="A493" s="147"/>
      <c r="B493" s="147"/>
      <c r="C493" s="147"/>
      <c r="D493" s="147"/>
      <c r="E493" s="147"/>
      <c r="F493" s="147"/>
      <c r="G493" s="147"/>
      <c r="H493" s="147"/>
    </row>
    <row r="494" spans="1:8" x14ac:dyDescent="0.25">
      <c r="A494" s="147" t="s">
        <v>317</v>
      </c>
      <c r="B494" s="155">
        <v>0.46899999999999997</v>
      </c>
      <c r="C494" s="155">
        <v>36.049999999999997</v>
      </c>
      <c r="D494" s="155">
        <v>-86.7</v>
      </c>
      <c r="E494" s="155">
        <v>-170.1</v>
      </c>
      <c r="F494" s="155">
        <v>82.683999999999997</v>
      </c>
      <c r="G494" s="155">
        <v>-416.3</v>
      </c>
      <c r="H494" s="155">
        <v>64.626000000000005</v>
      </c>
    </row>
    <row r="495" spans="1:8" x14ac:dyDescent="0.25">
      <c r="A495" s="154" t="s">
        <v>318</v>
      </c>
      <c r="B495" s="323">
        <v>1231.7449999999999</v>
      </c>
      <c r="C495" s="323">
        <v>3195.0839999999998</v>
      </c>
      <c r="D495" s="323">
        <v>-2183.8000000000002</v>
      </c>
      <c r="E495" s="323">
        <v>-884.5</v>
      </c>
      <c r="F495" s="323">
        <v>1947.933</v>
      </c>
      <c r="G495" s="323">
        <v>688.822</v>
      </c>
      <c r="H495" s="323">
        <v>1831.7829999999999</v>
      </c>
    </row>
    <row r="496" spans="1:8" x14ac:dyDescent="0.25">
      <c r="A496" s="147"/>
      <c r="B496" s="147"/>
      <c r="C496" s="147"/>
      <c r="D496" s="147"/>
      <c r="E496" s="147"/>
      <c r="F496" s="147"/>
      <c r="G496" s="147"/>
      <c r="H496" s="147"/>
    </row>
    <row r="497" spans="1:8" x14ac:dyDescent="0.25">
      <c r="A497" s="154" t="s">
        <v>211</v>
      </c>
      <c r="B497" s="147"/>
      <c r="C497" s="147"/>
      <c r="D497" s="147"/>
      <c r="E497" s="147"/>
      <c r="F497" s="147"/>
      <c r="G497" s="147"/>
      <c r="H497" s="147"/>
    </row>
    <row r="498" spans="1:8" x14ac:dyDescent="0.25">
      <c r="A498" s="147" t="s">
        <v>319</v>
      </c>
      <c r="B498" s="155">
        <v>599.13199999999995</v>
      </c>
      <c r="C498" s="155">
        <v>762.904</v>
      </c>
      <c r="D498" s="155">
        <v>763.43200000000002</v>
      </c>
      <c r="E498" s="155">
        <v>701.69299999999998</v>
      </c>
      <c r="F498" s="155">
        <v>684.50400000000002</v>
      </c>
      <c r="G498" s="155">
        <v>674.50199999999995</v>
      </c>
      <c r="H498" s="155">
        <v>674.50199999999995</v>
      </c>
    </row>
    <row r="499" spans="1:8" x14ac:dyDescent="0.25">
      <c r="A499" s="147" t="s">
        <v>320</v>
      </c>
      <c r="B499" s="155">
        <v>400.65800000000002</v>
      </c>
      <c r="C499" s="155">
        <v>291.58199999999999</v>
      </c>
      <c r="D499" s="155">
        <v>509.26499999999999</v>
      </c>
      <c r="E499" s="155">
        <v>811.72</v>
      </c>
      <c r="F499" s="155">
        <v>1154.973</v>
      </c>
      <c r="G499" s="155">
        <v>1641.53</v>
      </c>
      <c r="H499" s="155">
        <v>1641.53</v>
      </c>
    </row>
    <row r="500" spans="1:8" x14ac:dyDescent="0.25">
      <c r="A500" s="147" t="s">
        <v>321</v>
      </c>
      <c r="B500" s="155">
        <v>15625.900374999999</v>
      </c>
      <c r="C500" s="155">
        <v>13214.64575</v>
      </c>
      <c r="D500" s="155">
        <v>15648.747625</v>
      </c>
      <c r="E500" s="155">
        <v>16544.708875</v>
      </c>
      <c r="F500" s="155">
        <v>19384.344625000002</v>
      </c>
      <c r="G500" s="155">
        <v>21253.854625</v>
      </c>
      <c r="H500" s="155">
        <v>23363.9905</v>
      </c>
    </row>
    <row r="501" spans="1:8" x14ac:dyDescent="0.25">
      <c r="A501" s="147" t="s">
        <v>322</v>
      </c>
      <c r="B501" s="155">
        <v>16017.16475</v>
      </c>
      <c r="C501" s="155">
        <v>13694.332624999999</v>
      </c>
      <c r="D501" s="155">
        <v>16127.260125000001</v>
      </c>
      <c r="E501" s="155">
        <v>16986.091375</v>
      </c>
      <c r="F501" s="155">
        <v>19821.735874999998</v>
      </c>
      <c r="G501" s="155">
        <v>21703.062750000001</v>
      </c>
      <c r="H501" s="155">
        <v>23823.189249999999</v>
      </c>
    </row>
    <row r="502" spans="1:8" x14ac:dyDescent="0.25">
      <c r="A502" s="147" t="s">
        <v>323</v>
      </c>
      <c r="B502" s="155">
        <v>-4917.3</v>
      </c>
      <c r="C502" s="155">
        <v>11.352</v>
      </c>
      <c r="D502" s="155">
        <v>61.722000000000001</v>
      </c>
      <c r="E502" s="155">
        <v>1064.9649999999999</v>
      </c>
      <c r="F502" s="155">
        <v>-930.3</v>
      </c>
      <c r="G502" s="155">
        <v>271.42700000000002</v>
      </c>
      <c r="H502" s="155">
        <v>-87</v>
      </c>
    </row>
    <row r="503" spans="1:8" x14ac:dyDescent="0.25">
      <c r="A503" s="147" t="s">
        <v>324</v>
      </c>
      <c r="B503" s="155">
        <v>4469.3059999999996</v>
      </c>
      <c r="C503" s="155">
        <v>1009.4640000000001</v>
      </c>
      <c r="D503" s="155">
        <v>-500</v>
      </c>
      <c r="E503" s="155">
        <v>-700</v>
      </c>
      <c r="F503" s="155" t="s">
        <v>209</v>
      </c>
      <c r="G503" s="155">
        <v>1394.46</v>
      </c>
      <c r="H503" s="155">
        <v>-1833.5</v>
      </c>
    </row>
    <row r="504" spans="1:8" x14ac:dyDescent="0.25">
      <c r="A504" s="147" t="s">
        <v>108</v>
      </c>
      <c r="B504" s="157">
        <v>44588</v>
      </c>
      <c r="C504" s="157">
        <v>44588</v>
      </c>
      <c r="D504" s="157">
        <v>45317</v>
      </c>
      <c r="E504" s="157">
        <v>45684</v>
      </c>
      <c r="F504" s="157">
        <v>45684</v>
      </c>
      <c r="G504" s="157">
        <v>45684</v>
      </c>
      <c r="H504" s="157">
        <v>45952</v>
      </c>
    </row>
    <row r="505" spans="1:8" x14ac:dyDescent="0.25">
      <c r="A505" s="147" t="s">
        <v>225</v>
      </c>
      <c r="B505" s="167" t="s">
        <v>226</v>
      </c>
      <c r="C505" s="167" t="s">
        <v>226</v>
      </c>
      <c r="D505" s="167" t="s">
        <v>226</v>
      </c>
      <c r="E505" s="167" t="s">
        <v>226</v>
      </c>
      <c r="F505" s="167" t="s">
        <v>226</v>
      </c>
      <c r="G505" s="167" t="s">
        <v>227</v>
      </c>
      <c r="H505" s="167" t="s">
        <v>227</v>
      </c>
    </row>
    <row r="506" spans="1:8" x14ac:dyDescent="0.25">
      <c r="A506" s="147" t="s">
        <v>228</v>
      </c>
      <c r="B506" s="167" t="s">
        <v>229</v>
      </c>
      <c r="C506" s="167" t="s">
        <v>229</v>
      </c>
      <c r="D506" s="167" t="s">
        <v>229</v>
      </c>
      <c r="E506" s="167" t="s">
        <v>229</v>
      </c>
      <c r="F506" s="167" t="s">
        <v>229</v>
      </c>
      <c r="G506" s="167" t="s">
        <v>229</v>
      </c>
      <c r="H506" s="167" t="s">
        <v>230</v>
      </c>
    </row>
    <row r="523" spans="1:6" x14ac:dyDescent="0.25">
      <c r="A523" s="149" t="s">
        <v>325</v>
      </c>
      <c r="B523" s="149"/>
      <c r="C523" s="149"/>
      <c r="D523" s="149"/>
      <c r="E523" s="149"/>
      <c r="F523" s="149"/>
    </row>
    <row r="524" spans="1:6" ht="47.25" x14ac:dyDescent="0.25">
      <c r="A524" s="150" t="s">
        <v>129</v>
      </c>
      <c r="B524" s="151" t="s">
        <v>326</v>
      </c>
      <c r="C524" s="151" t="s">
        <v>327</v>
      </c>
      <c r="D524" s="151" t="s">
        <v>328</v>
      </c>
      <c r="E524" s="151" t="s">
        <v>329</v>
      </c>
      <c r="F524" s="151" t="s">
        <v>330</v>
      </c>
    </row>
    <row r="525" spans="1:6" x14ac:dyDescent="0.25">
      <c r="A525" s="154" t="s">
        <v>331</v>
      </c>
      <c r="B525" s="170">
        <v>11.548596</v>
      </c>
      <c r="C525" s="170">
        <v>10.368071</v>
      </c>
      <c r="D525" s="171">
        <v>9.9750655532660009</v>
      </c>
      <c r="E525" s="171">
        <v>8.8271460177059993</v>
      </c>
      <c r="F525" s="171">
        <v>7.9455749143069996</v>
      </c>
    </row>
    <row r="526" spans="1:6" x14ac:dyDescent="0.25">
      <c r="A526" s="147"/>
      <c r="B526" s="147"/>
      <c r="C526" s="147"/>
      <c r="D526" s="147"/>
      <c r="E526" s="147"/>
      <c r="F526" s="147"/>
    </row>
    <row r="527" spans="1:6" x14ac:dyDescent="0.25">
      <c r="A527" s="154" t="s">
        <v>332</v>
      </c>
      <c r="B527" s="170">
        <v>39.466057999999997</v>
      </c>
      <c r="C527" s="170">
        <v>32.934328999999998</v>
      </c>
      <c r="D527" s="171">
        <v>32.216398372302997</v>
      </c>
      <c r="E527" s="171">
        <v>25.978818392198999</v>
      </c>
      <c r="F527" s="171">
        <v>21.982093097798</v>
      </c>
    </row>
    <row r="528" spans="1:6" x14ac:dyDescent="0.25">
      <c r="A528" s="147"/>
      <c r="B528" s="147"/>
      <c r="C528" s="147"/>
      <c r="D528" s="147"/>
      <c r="E528" s="147"/>
      <c r="F528" s="147"/>
    </row>
    <row r="529" spans="1:8" x14ac:dyDescent="0.25">
      <c r="A529" s="154" t="s">
        <v>333</v>
      </c>
      <c r="B529" s="170">
        <v>43.235084999999998</v>
      </c>
      <c r="C529" s="170">
        <v>35.574215000000002</v>
      </c>
      <c r="D529" s="171">
        <v>33.811968602383999</v>
      </c>
      <c r="E529" s="171">
        <v>27.106590914769999</v>
      </c>
      <c r="F529" s="171">
        <v>22.777934372185999</v>
      </c>
    </row>
    <row r="530" spans="1:8" x14ac:dyDescent="0.25">
      <c r="A530" s="147"/>
      <c r="B530" s="147"/>
      <c r="C530" s="147"/>
      <c r="D530" s="147"/>
      <c r="E530" s="147"/>
      <c r="F530" s="147"/>
    </row>
    <row r="531" spans="1:8" x14ac:dyDescent="0.25">
      <c r="A531" s="154" t="s">
        <v>334</v>
      </c>
      <c r="B531" s="170">
        <v>52.602117999999997</v>
      </c>
      <c r="C531" s="170">
        <v>43.594974000000001</v>
      </c>
      <c r="D531" s="171">
        <v>41.205633135159999</v>
      </c>
      <c r="E531" s="171">
        <v>32.258862605264</v>
      </c>
      <c r="F531" s="171">
        <v>26.633133752919999</v>
      </c>
    </row>
    <row r="532" spans="1:8" x14ac:dyDescent="0.25">
      <c r="A532" s="147"/>
      <c r="B532" s="147"/>
      <c r="C532" s="147"/>
      <c r="D532" s="147"/>
      <c r="E532" s="147"/>
      <c r="F532" s="147"/>
    </row>
    <row r="533" spans="1:8" x14ac:dyDescent="0.25">
      <c r="A533" s="154" t="s">
        <v>335</v>
      </c>
      <c r="B533" s="170">
        <v>18.032703999999999</v>
      </c>
      <c r="C533" s="170">
        <v>17.029923</v>
      </c>
      <c r="D533" s="171">
        <v>15.984443095933999</v>
      </c>
      <c r="E533" s="171">
        <v>13.621939275220001</v>
      </c>
      <c r="F533" s="171">
        <v>11.959851771677</v>
      </c>
    </row>
    <row r="534" spans="1:8" x14ac:dyDescent="0.25">
      <c r="A534" s="147"/>
      <c r="B534" s="147"/>
      <c r="C534" s="147"/>
      <c r="D534" s="147"/>
      <c r="E534" s="147"/>
      <c r="F534" s="147"/>
    </row>
    <row r="535" spans="1:8" x14ac:dyDescent="0.25">
      <c r="A535" s="154" t="s">
        <v>336</v>
      </c>
      <c r="B535" s="170">
        <v>36.213304999999998</v>
      </c>
      <c r="C535" s="170">
        <v>32.09413</v>
      </c>
      <c r="D535" s="167" t="s">
        <v>62</v>
      </c>
      <c r="E535" s="167" t="s">
        <v>62</v>
      </c>
      <c r="F535" s="167" t="s">
        <v>62</v>
      </c>
    </row>
    <row r="537" spans="1:8" x14ac:dyDescent="0.25">
      <c r="A537" s="143" t="s">
        <v>337</v>
      </c>
      <c r="B537" s="144"/>
      <c r="C537" s="144"/>
      <c r="D537" s="144"/>
      <c r="E537" s="144"/>
      <c r="F537" s="144"/>
      <c r="G537" s="144"/>
      <c r="H537" s="144"/>
    </row>
    <row r="538" spans="1:8" x14ac:dyDescent="0.25">
      <c r="A538" s="144"/>
      <c r="B538" s="144"/>
      <c r="C538" s="144"/>
      <c r="D538" s="144"/>
      <c r="E538" s="144"/>
      <c r="F538" s="144"/>
      <c r="G538" s="144"/>
      <c r="H538" s="144"/>
    </row>
    <row r="539" spans="1:8" x14ac:dyDescent="0.25">
      <c r="A539" s="147"/>
      <c r="B539" s="146" t="s">
        <v>338</v>
      </c>
      <c r="C539" s="144" t="s">
        <v>339</v>
      </c>
      <c r="D539" s="147" t="s">
        <v>113</v>
      </c>
      <c r="E539" s="146" t="s">
        <v>340</v>
      </c>
      <c r="F539" s="144" t="s">
        <v>341</v>
      </c>
      <c r="G539" s="144"/>
      <c r="H539" s="144"/>
    </row>
    <row r="540" spans="1:8" x14ac:dyDescent="0.25">
      <c r="A540" s="147"/>
      <c r="B540" s="146" t="s">
        <v>118</v>
      </c>
      <c r="C540" s="144" t="s">
        <v>119</v>
      </c>
      <c r="D540" s="147" t="s">
        <v>113</v>
      </c>
      <c r="E540" s="146" t="s">
        <v>126</v>
      </c>
      <c r="F540" s="148" t="s">
        <v>127</v>
      </c>
      <c r="G540" s="144"/>
      <c r="H540" s="144"/>
    </row>
    <row r="541" spans="1:8" x14ac:dyDescent="0.25">
      <c r="A541" s="147"/>
      <c r="B541" s="146" t="s">
        <v>342</v>
      </c>
      <c r="C541" s="144" t="s">
        <v>343</v>
      </c>
      <c r="D541" s="147" t="s">
        <v>113</v>
      </c>
      <c r="E541" s="158"/>
      <c r="F541" s="158"/>
      <c r="G541" s="144"/>
      <c r="H541" s="144"/>
    </row>
    <row r="542" spans="1:8" x14ac:dyDescent="0.25">
      <c r="A542" s="144"/>
      <c r="B542" s="144"/>
      <c r="C542" s="144"/>
      <c r="D542" s="144"/>
      <c r="E542" s="144"/>
      <c r="F542" s="144"/>
      <c r="G542" s="144"/>
      <c r="H542" s="144"/>
    </row>
    <row r="543" spans="1:8" x14ac:dyDescent="0.25">
      <c r="A543" s="144"/>
      <c r="B543" s="144"/>
      <c r="C543" s="144"/>
      <c r="D543" s="144"/>
      <c r="E543" s="144"/>
      <c r="F543" s="144"/>
      <c r="G543" s="144"/>
      <c r="H543" s="144"/>
    </row>
    <row r="544" spans="1:8" x14ac:dyDescent="0.25">
      <c r="A544" s="149" t="s">
        <v>344</v>
      </c>
      <c r="B544" s="149"/>
      <c r="C544" s="149"/>
      <c r="D544" s="149"/>
      <c r="E544" s="149"/>
      <c r="F544" s="149"/>
      <c r="G544" s="149"/>
      <c r="H544" s="149"/>
    </row>
    <row r="545" spans="1:8" x14ac:dyDescent="0.25">
      <c r="A545" s="172"/>
      <c r="B545" s="173"/>
      <c r="C545" s="173"/>
      <c r="D545" s="173"/>
      <c r="E545" s="173"/>
      <c r="F545" s="173"/>
      <c r="G545" s="173"/>
      <c r="H545" s="173"/>
    </row>
    <row r="546" spans="1:8" x14ac:dyDescent="0.25">
      <c r="A546" s="174" t="s">
        <v>345</v>
      </c>
      <c r="B546" s="173"/>
      <c r="C546" s="175">
        <v>43553</v>
      </c>
      <c r="D546" s="175">
        <v>43644</v>
      </c>
      <c r="E546" s="175">
        <v>43738</v>
      </c>
      <c r="F546" s="175">
        <v>43830</v>
      </c>
      <c r="G546" s="175">
        <v>43921</v>
      </c>
      <c r="H546" s="175">
        <v>44012</v>
      </c>
    </row>
    <row r="547" spans="1:8" x14ac:dyDescent="0.25">
      <c r="A547" s="174" t="s">
        <v>346</v>
      </c>
      <c r="B547" s="176" t="s">
        <v>29</v>
      </c>
      <c r="C547" s="177">
        <v>10.081202081967213</v>
      </c>
      <c r="D547" s="177">
        <v>10.038686015873015</v>
      </c>
      <c r="E547" s="177">
        <v>8.3540656250000005</v>
      </c>
      <c r="F547" s="177">
        <v>7.4435408750000001</v>
      </c>
      <c r="G547" s="177">
        <v>8.3415261290322587</v>
      </c>
      <c r="H547" s="177">
        <v>9.3735661269841266</v>
      </c>
    </row>
    <row r="548" spans="1:8" x14ac:dyDescent="0.25">
      <c r="A548" s="176"/>
      <c r="B548" s="176" t="s">
        <v>347</v>
      </c>
      <c r="C548" s="178">
        <v>10.862819999999999</v>
      </c>
      <c r="D548" s="178">
        <v>10.638361</v>
      </c>
      <c r="E548" s="178">
        <v>10.517308</v>
      </c>
      <c r="F548" s="178">
        <v>8.3043230000000001</v>
      </c>
      <c r="G548" s="178">
        <v>9.0052819999999993</v>
      </c>
      <c r="H548" s="178">
        <v>10.136804</v>
      </c>
    </row>
    <row r="549" spans="1:8" x14ac:dyDescent="0.25">
      <c r="A549" s="176"/>
      <c r="B549" s="176" t="s">
        <v>348</v>
      </c>
      <c r="C549" s="178">
        <v>8.1910609999999995</v>
      </c>
      <c r="D549" s="178">
        <v>9.3307380000000002</v>
      </c>
      <c r="E549" s="178">
        <v>6.8145230000000003</v>
      </c>
      <c r="F549" s="178">
        <v>6.6742179999999998</v>
      </c>
      <c r="G549" s="178">
        <v>7.0690549999999996</v>
      </c>
      <c r="H549" s="178">
        <v>8.4388260000000006</v>
      </c>
    </row>
    <row r="550" spans="1:8" x14ac:dyDescent="0.25">
      <c r="A550" s="176"/>
      <c r="B550" s="176" t="s">
        <v>349</v>
      </c>
      <c r="C550" s="178">
        <v>10.273752999999999</v>
      </c>
      <c r="D550" s="178">
        <v>10.138363999999999</v>
      </c>
      <c r="E550" s="178">
        <v>7.1381129999999997</v>
      </c>
      <c r="F550" s="178">
        <v>7.9948329999999999</v>
      </c>
      <c r="G550" s="178">
        <v>8.7379460000000009</v>
      </c>
      <c r="H550" s="178">
        <v>9.8696719999999996</v>
      </c>
    </row>
    <row r="551" spans="1:8" x14ac:dyDescent="0.25">
      <c r="A551" s="174"/>
      <c r="B551" s="176"/>
      <c r="C551" s="176"/>
      <c r="D551" s="176"/>
      <c r="E551" s="176"/>
      <c r="F551" s="176"/>
      <c r="G551" s="176"/>
      <c r="H551" s="176"/>
    </row>
    <row r="552" spans="1:8" x14ac:dyDescent="0.25">
      <c r="A552" s="174" t="s">
        <v>350</v>
      </c>
      <c r="B552" s="176" t="s">
        <v>29</v>
      </c>
      <c r="C552" s="177">
        <v>7.8921380000000001</v>
      </c>
      <c r="D552" s="177">
        <v>7.7678440000000002</v>
      </c>
      <c r="E552" s="177">
        <v>6.4680569999999999</v>
      </c>
      <c r="F552" s="177">
        <v>5.9449670000000001</v>
      </c>
      <c r="G552" s="177">
        <v>6.8611510000000004</v>
      </c>
      <c r="H552" s="177">
        <v>7.7507570000000001</v>
      </c>
    </row>
    <row r="553" spans="1:8" x14ac:dyDescent="0.25">
      <c r="A553" s="176"/>
      <c r="B553" s="176" t="s">
        <v>347</v>
      </c>
      <c r="C553" s="178"/>
      <c r="D553" s="178">
        <v>8.2939469999999993</v>
      </c>
      <c r="E553" s="178">
        <v>8.1176089999999999</v>
      </c>
      <c r="F553" s="178">
        <v>6.6626349999999999</v>
      </c>
      <c r="G553" s="178">
        <v>7.4517379999999998</v>
      </c>
      <c r="H553" s="178">
        <v>8.3759940000000004</v>
      </c>
    </row>
    <row r="554" spans="1:8" x14ac:dyDescent="0.25">
      <c r="A554" s="176"/>
      <c r="B554" s="176" t="s">
        <v>348</v>
      </c>
      <c r="C554" s="178">
        <v>6.4989359999999996</v>
      </c>
      <c r="D554" s="178">
        <v>7.201854</v>
      </c>
      <c r="E554" s="178">
        <v>5.2944170000000002</v>
      </c>
      <c r="F554" s="178">
        <v>5.3543399999999997</v>
      </c>
      <c r="G554" s="178">
        <v>5.849399</v>
      </c>
      <c r="H554" s="178">
        <v>6.9827510000000004</v>
      </c>
    </row>
    <row r="555" spans="1:8" x14ac:dyDescent="0.25">
      <c r="A555" s="176"/>
      <c r="B555" s="176" t="s">
        <v>349</v>
      </c>
      <c r="C555" s="178">
        <v>8.0090050000000002</v>
      </c>
      <c r="D555" s="178">
        <v>7.8252139999999999</v>
      </c>
      <c r="E555" s="178">
        <v>5.5444630000000004</v>
      </c>
      <c r="F555" s="178">
        <v>6.4158309999999998</v>
      </c>
      <c r="G555" s="178">
        <v>7.2316580000000004</v>
      </c>
      <c r="H555" s="178">
        <v>8.1500850000000007</v>
      </c>
    </row>
    <row r="556" spans="1:8" x14ac:dyDescent="0.25">
      <c r="A556" s="174"/>
      <c r="B556" s="176"/>
      <c r="C556" s="176"/>
      <c r="D556" s="176"/>
      <c r="E556" s="176"/>
      <c r="F556" s="176"/>
      <c r="G556" s="176"/>
      <c r="H556" s="176"/>
    </row>
    <row r="557" spans="1:8" x14ac:dyDescent="0.25">
      <c r="A557" s="174" t="s">
        <v>351</v>
      </c>
      <c r="B557" s="176" t="s">
        <v>29</v>
      </c>
      <c r="C557" s="177">
        <v>93.150357049180329</v>
      </c>
      <c r="D557" s="177">
        <v>81.99645282539683</v>
      </c>
      <c r="E557" s="177">
        <v>63.054843468750001</v>
      </c>
      <c r="F557" s="177">
        <v>50.09400471875</v>
      </c>
      <c r="G557" s="177">
        <v>56.471448370967742</v>
      </c>
      <c r="H557" s="177">
        <v>60.138382714285711</v>
      </c>
    </row>
    <row r="558" spans="1:8" x14ac:dyDescent="0.25">
      <c r="A558" s="176"/>
      <c r="B558" s="176" t="s">
        <v>347</v>
      </c>
      <c r="C558" s="178">
        <v>101.618582</v>
      </c>
      <c r="D558" s="178">
        <v>99.518833000000001</v>
      </c>
      <c r="E558" s="178">
        <v>82.369589000000005</v>
      </c>
      <c r="F558" s="178">
        <v>56.662829000000002</v>
      </c>
      <c r="G558" s="178">
        <v>61.785164999999999</v>
      </c>
      <c r="H558" s="178">
        <v>69.460983999999996</v>
      </c>
    </row>
    <row r="559" spans="1:8" x14ac:dyDescent="0.25">
      <c r="A559" s="176"/>
      <c r="B559" s="176" t="s">
        <v>348</v>
      </c>
      <c r="C559" s="178">
        <v>71.183034000000006</v>
      </c>
      <c r="D559" s="178">
        <v>73.076592000000005</v>
      </c>
      <c r="E559" s="178">
        <v>50.921219000000001</v>
      </c>
      <c r="F559" s="178">
        <v>43.898741000000001</v>
      </c>
      <c r="G559" s="178">
        <v>48.500726</v>
      </c>
      <c r="H559" s="178">
        <v>55.579987000000003</v>
      </c>
    </row>
    <row r="560" spans="1:8" x14ac:dyDescent="0.25">
      <c r="A560" s="176"/>
      <c r="B560" s="176" t="s">
        <v>349</v>
      </c>
      <c r="C560" s="178">
        <v>96.108033000000006</v>
      </c>
      <c r="D560" s="178">
        <v>79.401765999999995</v>
      </c>
      <c r="E560" s="178">
        <v>53.339227999999999</v>
      </c>
      <c r="F560" s="178">
        <v>52.584899999999998</v>
      </c>
      <c r="G560" s="178">
        <v>59.950975</v>
      </c>
      <c r="H560" s="178">
        <v>62.213067000000002</v>
      </c>
    </row>
    <row r="561" spans="1:8" x14ac:dyDescent="0.25">
      <c r="A561" s="174"/>
      <c r="B561" s="176"/>
      <c r="C561" s="176"/>
      <c r="D561" s="176"/>
      <c r="E561" s="176"/>
      <c r="F561" s="176"/>
      <c r="G561" s="176"/>
      <c r="H561" s="176"/>
    </row>
    <row r="562" spans="1:8" x14ac:dyDescent="0.25">
      <c r="A562" s="174" t="s">
        <v>352</v>
      </c>
      <c r="B562" s="176" t="s">
        <v>29</v>
      </c>
      <c r="C562" s="177">
        <v>52.690792999999999</v>
      </c>
      <c r="D562" s="177">
        <v>47.855266</v>
      </c>
      <c r="E562" s="177">
        <v>37.275488000000003</v>
      </c>
      <c r="F562" s="177">
        <v>33.570996999999998</v>
      </c>
      <c r="G562" s="177">
        <v>37.551516999999997</v>
      </c>
      <c r="H562" s="177">
        <v>40.568810999999997</v>
      </c>
    </row>
    <row r="563" spans="1:8" x14ac:dyDescent="0.25">
      <c r="A563" s="176"/>
      <c r="B563" s="176" t="s">
        <v>347</v>
      </c>
      <c r="C563" s="178">
        <v>62.351328000000002</v>
      </c>
      <c r="D563" s="178">
        <v>54.152920000000002</v>
      </c>
      <c r="E563" s="178">
        <v>49.359400000000001</v>
      </c>
      <c r="F563" s="178">
        <v>37.749119</v>
      </c>
      <c r="G563" s="178">
        <v>40.411363000000001</v>
      </c>
      <c r="H563" s="178">
        <v>45.630057999999998</v>
      </c>
    </row>
    <row r="564" spans="1:8" x14ac:dyDescent="0.25">
      <c r="A564" s="176"/>
      <c r="B564" s="176" t="s">
        <v>348</v>
      </c>
      <c r="C564" s="178">
        <v>47.463171000000003</v>
      </c>
      <c r="D564" s="178">
        <v>43.790636999999997</v>
      </c>
      <c r="E564" s="178">
        <v>30.057364</v>
      </c>
      <c r="F564" s="178">
        <v>30.273026000000002</v>
      </c>
      <c r="G564" s="178">
        <v>31.724951000000001</v>
      </c>
      <c r="H564" s="178">
        <v>37.710048999999998</v>
      </c>
    </row>
    <row r="565" spans="1:8" x14ac:dyDescent="0.25">
      <c r="A565" s="176"/>
      <c r="B565" s="176" t="s">
        <v>349</v>
      </c>
      <c r="C565" s="178">
        <v>52.296942000000001</v>
      </c>
      <c r="D565" s="178">
        <v>47.580953000000001</v>
      </c>
      <c r="E565" s="178">
        <v>31.508295</v>
      </c>
      <c r="F565" s="178">
        <v>36.342264</v>
      </c>
      <c r="G565" s="178">
        <v>39.411470999999999</v>
      </c>
      <c r="H565" s="178">
        <v>42.184289</v>
      </c>
    </row>
    <row r="566" spans="1:8" x14ac:dyDescent="0.25">
      <c r="A566" s="174"/>
      <c r="B566" s="176"/>
      <c r="C566" s="176"/>
      <c r="D566" s="176"/>
      <c r="E566" s="176"/>
      <c r="F566" s="176"/>
      <c r="G566" s="176"/>
      <c r="H566" s="176"/>
    </row>
    <row r="567" spans="1:8" x14ac:dyDescent="0.25">
      <c r="A567" s="174" t="s">
        <v>353</v>
      </c>
      <c r="B567" s="176" t="s">
        <v>29</v>
      </c>
      <c r="C567" s="177">
        <v>97.923390803278693</v>
      </c>
      <c r="D567" s="177">
        <v>102.31276941269842</v>
      </c>
      <c r="E567" s="177">
        <v>80.530555796875007</v>
      </c>
      <c r="F567" s="177">
        <v>61.353826109374999</v>
      </c>
      <c r="G567" s="177">
        <v>64.966987129032262</v>
      </c>
      <c r="H567" s="177">
        <v>66.237684238095241</v>
      </c>
    </row>
    <row r="568" spans="1:8" x14ac:dyDescent="0.25">
      <c r="A568" s="176"/>
      <c r="B568" s="176" t="s">
        <v>347</v>
      </c>
      <c r="C568" s="178">
        <v>106.882823</v>
      </c>
      <c r="D568" s="178">
        <v>108.90974900000001</v>
      </c>
      <c r="E568" s="178">
        <v>108.015164</v>
      </c>
      <c r="F568" s="178">
        <v>71.800921000000002</v>
      </c>
      <c r="G568" s="178">
        <v>69.69923</v>
      </c>
      <c r="H568" s="178">
        <v>78.358244999999997</v>
      </c>
    </row>
    <row r="569" spans="1:8" x14ac:dyDescent="0.25">
      <c r="A569" s="176"/>
      <c r="B569" s="176" t="s">
        <v>348</v>
      </c>
      <c r="C569" s="178">
        <v>74.623437999999993</v>
      </c>
      <c r="D569" s="178">
        <v>95.828815000000006</v>
      </c>
      <c r="E569" s="178">
        <v>64.525377000000006</v>
      </c>
      <c r="F569" s="178">
        <v>53.347915</v>
      </c>
      <c r="G569" s="178">
        <v>54.713186</v>
      </c>
      <c r="H569" s="178">
        <v>60.810110999999999</v>
      </c>
    </row>
    <row r="570" spans="1:8" x14ac:dyDescent="0.25">
      <c r="A570" s="176"/>
      <c r="B570" s="176" t="s">
        <v>349</v>
      </c>
      <c r="C570" s="178">
        <v>101.086806</v>
      </c>
      <c r="D570" s="178">
        <v>104.123316</v>
      </c>
      <c r="E570" s="178">
        <v>67.589382999999998</v>
      </c>
      <c r="F570" s="178">
        <v>63.903765</v>
      </c>
      <c r="G570" s="178">
        <v>67.630098000000004</v>
      </c>
      <c r="H570" s="178">
        <v>68.067368999999999</v>
      </c>
    </row>
    <row r="571" spans="1:8" x14ac:dyDescent="0.25">
      <c r="A571" s="174"/>
      <c r="B571" s="176"/>
      <c r="C571" s="176"/>
      <c r="D571" s="176"/>
      <c r="E571" s="176"/>
      <c r="F571" s="176"/>
      <c r="G571" s="176"/>
      <c r="H571" s="176"/>
    </row>
    <row r="572" spans="1:8" x14ac:dyDescent="0.25">
      <c r="A572" s="174" t="s">
        <v>354</v>
      </c>
      <c r="B572" s="176" t="s">
        <v>29</v>
      </c>
      <c r="C572" s="177">
        <v>61.980578999999999</v>
      </c>
      <c r="D572" s="177">
        <v>55.769682000000003</v>
      </c>
      <c r="E572" s="177">
        <v>43.06915</v>
      </c>
      <c r="F572" s="177">
        <v>38.799419999999998</v>
      </c>
      <c r="G572" s="177">
        <v>42.856585000000003</v>
      </c>
      <c r="H572" s="177">
        <v>45.743619000000002</v>
      </c>
    </row>
    <row r="573" spans="1:8" x14ac:dyDescent="0.25">
      <c r="A573" s="176"/>
      <c r="B573" s="176" t="s">
        <v>347</v>
      </c>
      <c r="C573" s="178">
        <v>74.699849999999998</v>
      </c>
      <c r="D573" s="178">
        <v>63.456234000000002</v>
      </c>
      <c r="E573" s="178">
        <v>57.424374999999998</v>
      </c>
      <c r="F573" s="178">
        <v>43.535556</v>
      </c>
      <c r="G573" s="178">
        <v>46.019033</v>
      </c>
      <c r="H573" s="178">
        <v>51.58428</v>
      </c>
    </row>
    <row r="574" spans="1:8" x14ac:dyDescent="0.25">
      <c r="A574" s="176"/>
      <c r="B574" s="176" t="s">
        <v>348</v>
      </c>
      <c r="C574" s="178">
        <v>55.722717000000003</v>
      </c>
      <c r="D574" s="178">
        <v>50.949097000000002</v>
      </c>
      <c r="E574" s="178">
        <v>34.733648000000002</v>
      </c>
      <c r="F574" s="178">
        <v>35.005380000000002</v>
      </c>
      <c r="G574" s="178">
        <v>36.127040000000001</v>
      </c>
      <c r="H574" s="178">
        <v>42.488235000000003</v>
      </c>
    </row>
    <row r="575" spans="1:8" x14ac:dyDescent="0.25">
      <c r="A575" s="176"/>
      <c r="B575" s="176" t="s">
        <v>349</v>
      </c>
      <c r="C575" s="178">
        <v>61.281404999999999</v>
      </c>
      <c r="D575" s="178">
        <v>55.357745000000001</v>
      </c>
      <c r="E575" s="178">
        <v>36.322268999999999</v>
      </c>
      <c r="F575" s="178">
        <v>41.904674</v>
      </c>
      <c r="G575" s="178">
        <v>44.592961000000003</v>
      </c>
      <c r="H575" s="178">
        <v>47.522948</v>
      </c>
    </row>
    <row r="576" spans="1:8" x14ac:dyDescent="0.25">
      <c r="A576" s="174"/>
      <c r="B576" s="176"/>
      <c r="C576" s="176"/>
      <c r="D576" s="176"/>
      <c r="E576" s="176"/>
      <c r="F576" s="176"/>
      <c r="G576" s="176"/>
      <c r="H576" s="176"/>
    </row>
    <row r="577" spans="1:8" x14ac:dyDescent="0.25">
      <c r="A577" s="174" t="s">
        <v>355</v>
      </c>
      <c r="B577" s="176" t="s">
        <v>29</v>
      </c>
      <c r="C577" s="177">
        <v>128.4264567704918</v>
      </c>
      <c r="D577" s="177">
        <v>129.86453299999999</v>
      </c>
      <c r="E577" s="177">
        <v>120.811726890625</v>
      </c>
      <c r="F577" s="177">
        <v>98.464722624999993</v>
      </c>
      <c r="G577" s="177">
        <v>90.739417338709671</v>
      </c>
      <c r="H577" s="177">
        <v>89.378298619047612</v>
      </c>
    </row>
    <row r="578" spans="1:8" x14ac:dyDescent="0.25">
      <c r="A578" s="176"/>
      <c r="B578" s="176" t="s">
        <v>347</v>
      </c>
      <c r="C578" s="178">
        <v>140.99626799999999</v>
      </c>
      <c r="D578" s="178">
        <v>137.96641700000001</v>
      </c>
      <c r="E578" s="178">
        <v>142.676061</v>
      </c>
      <c r="F578" s="178">
        <v>112.40011</v>
      </c>
      <c r="G578" s="178">
        <v>108.84416899999999</v>
      </c>
      <c r="H578" s="178">
        <v>106.336561</v>
      </c>
    </row>
    <row r="579" spans="1:8" x14ac:dyDescent="0.25">
      <c r="A579" s="176"/>
      <c r="B579" s="176" t="s">
        <v>348</v>
      </c>
      <c r="C579" s="178">
        <v>95.537581000000003</v>
      </c>
      <c r="D579" s="178">
        <v>120.226288</v>
      </c>
      <c r="E579" s="178">
        <v>100.220446</v>
      </c>
      <c r="F579" s="178">
        <v>85.458389999999994</v>
      </c>
      <c r="G579" s="178">
        <v>72.358352999999994</v>
      </c>
      <c r="H579" s="178">
        <v>81.735381000000004</v>
      </c>
    </row>
    <row r="580" spans="1:8" x14ac:dyDescent="0.25">
      <c r="A580" s="176"/>
      <c r="B580" s="176" t="s">
        <v>349</v>
      </c>
      <c r="C580" s="178">
        <v>133.04477600000001</v>
      </c>
      <c r="D580" s="178">
        <v>131.187119</v>
      </c>
      <c r="E580" s="178">
        <v>105.349761</v>
      </c>
      <c r="F580" s="178">
        <v>103.68507</v>
      </c>
      <c r="G580" s="178">
        <v>90.920096000000001</v>
      </c>
      <c r="H580" s="178">
        <v>92.100308999999996</v>
      </c>
    </row>
    <row r="581" spans="1:8" x14ac:dyDescent="0.25">
      <c r="A581" s="174"/>
      <c r="B581" s="176"/>
      <c r="C581" s="176"/>
      <c r="D581" s="176"/>
      <c r="E581" s="176"/>
      <c r="F581" s="176"/>
      <c r="G581" s="176"/>
      <c r="H581" s="176"/>
    </row>
    <row r="582" spans="1:8" x14ac:dyDescent="0.25">
      <c r="A582" s="174" t="s">
        <v>356</v>
      </c>
      <c r="B582" s="176" t="s">
        <v>29</v>
      </c>
      <c r="C582" s="177">
        <v>88.792340999999993</v>
      </c>
      <c r="D582" s="177">
        <v>91.247309999999999</v>
      </c>
      <c r="E582" s="177">
        <v>68.095477000000002</v>
      </c>
      <c r="F582" s="177">
        <v>59.696930999999999</v>
      </c>
      <c r="G582" s="177">
        <v>61.908830000000002</v>
      </c>
      <c r="H582" s="177">
        <v>62.381258000000003</v>
      </c>
    </row>
    <row r="583" spans="1:8" x14ac:dyDescent="0.25">
      <c r="A583" s="176"/>
      <c r="B583" s="176" t="s">
        <v>347</v>
      </c>
      <c r="C583" s="178">
        <v>107.17437200000001</v>
      </c>
      <c r="D583" s="178">
        <v>98.473145000000002</v>
      </c>
      <c r="E583" s="178">
        <v>97.228730999999996</v>
      </c>
      <c r="F583" s="178">
        <v>67.609872999999993</v>
      </c>
      <c r="G583" s="178">
        <v>68.717377999999997</v>
      </c>
      <c r="H583" s="178">
        <v>74.115263999999996</v>
      </c>
    </row>
    <row r="584" spans="1:8" x14ac:dyDescent="0.25">
      <c r="A584" s="176"/>
      <c r="B584" s="176" t="s">
        <v>348</v>
      </c>
      <c r="C584" s="178">
        <v>80.065809000000002</v>
      </c>
      <c r="D584" s="178">
        <v>74.697830999999994</v>
      </c>
      <c r="E584" s="178">
        <v>53.216973000000003</v>
      </c>
      <c r="F584" s="178">
        <v>53.263430999999997</v>
      </c>
      <c r="G584" s="178">
        <v>50.220989000000003</v>
      </c>
      <c r="H584" s="178">
        <v>56.789481000000002</v>
      </c>
    </row>
    <row r="585" spans="1:8" x14ac:dyDescent="0.25">
      <c r="A585" s="176"/>
      <c r="B585" s="176" t="s">
        <v>349</v>
      </c>
      <c r="C585" s="178">
        <v>87.965658000000005</v>
      </c>
      <c r="D585" s="178">
        <v>93.584712999999994</v>
      </c>
      <c r="E585" s="178">
        <v>56.069557000000003</v>
      </c>
      <c r="F585" s="178">
        <v>65.130837</v>
      </c>
      <c r="G585" s="178">
        <v>63.389434999999999</v>
      </c>
      <c r="H585" s="178">
        <v>64.027015000000006</v>
      </c>
    </row>
    <row r="586" spans="1:8" x14ac:dyDescent="0.25">
      <c r="A586" s="174"/>
      <c r="B586" s="176"/>
      <c r="C586" s="176"/>
      <c r="D586" s="176"/>
      <c r="E586" s="176"/>
      <c r="F586" s="176"/>
      <c r="G586" s="176"/>
      <c r="H586" s="176"/>
    </row>
    <row r="587" spans="1:8" x14ac:dyDescent="0.25">
      <c r="A587" s="174" t="s">
        <v>357</v>
      </c>
      <c r="B587" s="176" t="s">
        <v>29</v>
      </c>
      <c r="C587" s="177">
        <v>203.69783731147541</v>
      </c>
      <c r="D587" s="177">
        <v>199.32116457142857</v>
      </c>
      <c r="E587" s="177">
        <v>163.50494775000001</v>
      </c>
      <c r="F587" s="177">
        <v>113.051594296875</v>
      </c>
      <c r="G587" s="177">
        <v>124.3330854516129</v>
      </c>
      <c r="H587" s="177">
        <v>129.76801433333333</v>
      </c>
    </row>
    <row r="588" spans="1:8" x14ac:dyDescent="0.25">
      <c r="A588" s="176"/>
      <c r="B588" s="176" t="s">
        <v>347</v>
      </c>
      <c r="C588" s="178">
        <v>222.445267</v>
      </c>
      <c r="D588" s="178">
        <v>217.66516899999999</v>
      </c>
      <c r="E588" s="178">
        <v>207.94360699999999</v>
      </c>
      <c r="F588" s="178">
        <v>147.55919800000001</v>
      </c>
      <c r="G588" s="178">
        <v>135.91960700000001</v>
      </c>
      <c r="H588" s="178">
        <v>153.93216200000001</v>
      </c>
    </row>
    <row r="589" spans="1:8" x14ac:dyDescent="0.25">
      <c r="A589" s="176"/>
      <c r="B589" s="176" t="s">
        <v>348</v>
      </c>
      <c r="C589" s="178">
        <v>155.79109099999999</v>
      </c>
      <c r="D589" s="178">
        <v>183.38063600000001</v>
      </c>
      <c r="E589" s="178">
        <v>131.56969900000001</v>
      </c>
      <c r="F589" s="178">
        <v>94.840646000000007</v>
      </c>
      <c r="G589" s="178">
        <v>104.745514</v>
      </c>
      <c r="H589" s="178">
        <v>118.770734</v>
      </c>
    </row>
    <row r="590" spans="1:8" x14ac:dyDescent="0.25">
      <c r="A590" s="176"/>
      <c r="B590" s="176" t="s">
        <v>349</v>
      </c>
      <c r="C590" s="178">
        <v>209.900453</v>
      </c>
      <c r="D590" s="178">
        <v>200.09914499999999</v>
      </c>
      <c r="E590" s="178">
        <v>138.30348000000001</v>
      </c>
      <c r="F590" s="178">
        <v>115.06838500000001</v>
      </c>
      <c r="G590" s="178">
        <v>131.61538100000001</v>
      </c>
      <c r="H590" s="178">
        <v>133.832145</v>
      </c>
    </row>
    <row r="591" spans="1:8" x14ac:dyDescent="0.25">
      <c r="A591" s="174"/>
      <c r="B591" s="176"/>
      <c r="C591" s="176"/>
      <c r="D591" s="176"/>
      <c r="E591" s="176"/>
      <c r="F591" s="176"/>
      <c r="G591" s="176"/>
      <c r="H591" s="176"/>
    </row>
    <row r="592" spans="1:8" x14ac:dyDescent="0.25">
      <c r="A592" s="174" t="s">
        <v>335</v>
      </c>
      <c r="B592" s="176" t="s">
        <v>29</v>
      </c>
      <c r="C592" s="177">
        <v>29.102214704918033</v>
      </c>
      <c r="D592" s="177">
        <v>28.080164396825396</v>
      </c>
      <c r="E592" s="177">
        <v>22.75686953125</v>
      </c>
      <c r="F592" s="177">
        <v>19.30687415625</v>
      </c>
      <c r="G592" s="177">
        <v>20.858936612903225</v>
      </c>
      <c r="H592" s="177">
        <v>22.712327126984128</v>
      </c>
    </row>
    <row r="593" spans="1:8" x14ac:dyDescent="0.25">
      <c r="A593" s="176"/>
      <c r="B593" s="176" t="s">
        <v>347</v>
      </c>
      <c r="C593" s="178">
        <v>31.491686000000001</v>
      </c>
      <c r="D593" s="178">
        <v>30.814965000000001</v>
      </c>
      <c r="E593" s="178">
        <v>29.262369</v>
      </c>
      <c r="F593" s="178">
        <v>21.518149999999999</v>
      </c>
      <c r="G593" s="178">
        <v>22.442232000000001</v>
      </c>
      <c r="H593" s="178">
        <v>25.416357000000001</v>
      </c>
    </row>
    <row r="594" spans="1:8" ht="23.25" customHeight="1" x14ac:dyDescent="0.25">
      <c r="A594" s="176"/>
      <c r="B594" s="176" t="s">
        <v>348</v>
      </c>
      <c r="C594" s="178">
        <v>23.299520000000001</v>
      </c>
      <c r="D594" s="178">
        <v>25.805803000000001</v>
      </c>
      <c r="E594" s="178">
        <v>18.256906000000001</v>
      </c>
      <c r="F594" s="178">
        <v>17.033764999999999</v>
      </c>
      <c r="G594" s="178">
        <v>17.294951999999999</v>
      </c>
      <c r="H594" s="178">
        <v>20.936360000000001</v>
      </c>
    </row>
    <row r="595" spans="1:8" x14ac:dyDescent="0.25">
      <c r="A595" s="176"/>
      <c r="B595" s="176" t="s">
        <v>349</v>
      </c>
      <c r="C595" s="178">
        <v>29.715710000000001</v>
      </c>
      <c r="D595" s="178">
        <v>28.158476</v>
      </c>
      <c r="E595" s="178">
        <v>19.191299999999998</v>
      </c>
      <c r="F595" s="178">
        <v>20.666748999999999</v>
      </c>
      <c r="G595" s="178">
        <v>21.731542999999999</v>
      </c>
      <c r="H595" s="178">
        <v>23.797221</v>
      </c>
    </row>
    <row r="596" spans="1:8" x14ac:dyDescent="0.25">
      <c r="A596" s="174"/>
      <c r="B596" s="176"/>
      <c r="C596" s="176"/>
      <c r="D596" s="176"/>
      <c r="E596" s="176"/>
      <c r="F596" s="176"/>
      <c r="G596" s="176"/>
      <c r="H596" s="176"/>
    </row>
    <row r="597" spans="1:8" x14ac:dyDescent="0.25">
      <c r="A597" s="174" t="s">
        <v>358</v>
      </c>
      <c r="B597" s="176" t="s">
        <v>29</v>
      </c>
      <c r="C597" s="179" t="s">
        <v>359</v>
      </c>
      <c r="D597" s="179" t="s">
        <v>359</v>
      </c>
      <c r="E597" s="179" t="s">
        <v>359</v>
      </c>
      <c r="F597" s="179" t="s">
        <v>359</v>
      </c>
      <c r="G597" s="179" t="s">
        <v>359</v>
      </c>
      <c r="H597" s="179" t="s">
        <v>359</v>
      </c>
    </row>
    <row r="598" spans="1:8" x14ac:dyDescent="0.25">
      <c r="A598" s="176"/>
      <c r="B598" s="176" t="s">
        <v>347</v>
      </c>
      <c r="C598" s="180" t="s">
        <v>359</v>
      </c>
      <c r="D598" s="180" t="s">
        <v>359</v>
      </c>
      <c r="E598" s="180" t="s">
        <v>359</v>
      </c>
      <c r="F598" s="180" t="s">
        <v>359</v>
      </c>
      <c r="G598" s="180" t="s">
        <v>359</v>
      </c>
      <c r="H598" s="180" t="s">
        <v>359</v>
      </c>
    </row>
    <row r="599" spans="1:8" x14ac:dyDescent="0.25">
      <c r="A599" s="176"/>
      <c r="B599" s="176" t="s">
        <v>348</v>
      </c>
      <c r="C599" s="180" t="s">
        <v>359</v>
      </c>
      <c r="D599" s="180" t="s">
        <v>359</v>
      </c>
      <c r="E599" s="180" t="s">
        <v>359</v>
      </c>
      <c r="F599" s="180" t="s">
        <v>359</v>
      </c>
      <c r="G599" s="180" t="s">
        <v>359</v>
      </c>
      <c r="H599" s="180" t="s">
        <v>359</v>
      </c>
    </row>
    <row r="600" spans="1:8" x14ac:dyDescent="0.25">
      <c r="A600" s="176"/>
      <c r="B600" s="176" t="s">
        <v>349</v>
      </c>
      <c r="C600" s="180" t="s">
        <v>359</v>
      </c>
      <c r="D600" s="180" t="s">
        <v>359</v>
      </c>
      <c r="E600" s="180" t="s">
        <v>359</v>
      </c>
      <c r="F600" s="180" t="s">
        <v>359</v>
      </c>
      <c r="G600" s="180" t="s">
        <v>359</v>
      </c>
      <c r="H600" s="180" t="s">
        <v>359</v>
      </c>
    </row>
    <row r="601" spans="1:8" x14ac:dyDescent="0.25">
      <c r="A601" s="174"/>
      <c r="B601" s="176"/>
      <c r="C601" s="176"/>
      <c r="D601" s="176"/>
      <c r="E601" s="176"/>
      <c r="F601" s="176"/>
      <c r="G601" s="176"/>
      <c r="H601" s="176"/>
    </row>
    <row r="602" spans="1:8" x14ac:dyDescent="0.25">
      <c r="A602" s="174" t="s">
        <v>360</v>
      </c>
      <c r="B602" s="176" t="s">
        <v>29</v>
      </c>
      <c r="C602" s="179" t="s">
        <v>359</v>
      </c>
      <c r="D602" s="179" t="s">
        <v>359</v>
      </c>
      <c r="E602" s="179" t="s">
        <v>359</v>
      </c>
      <c r="F602" s="179" t="s">
        <v>359</v>
      </c>
      <c r="G602" s="179" t="s">
        <v>359</v>
      </c>
      <c r="H602" s="179" t="s">
        <v>359</v>
      </c>
    </row>
    <row r="603" spans="1:8" x14ac:dyDescent="0.25">
      <c r="A603" s="176"/>
      <c r="B603" s="176" t="s">
        <v>347</v>
      </c>
      <c r="C603" s="180" t="s">
        <v>359</v>
      </c>
      <c r="D603" s="180" t="s">
        <v>359</v>
      </c>
      <c r="E603" s="180" t="s">
        <v>359</v>
      </c>
      <c r="F603" s="180" t="s">
        <v>359</v>
      </c>
      <c r="G603" s="180" t="s">
        <v>359</v>
      </c>
      <c r="H603" s="180" t="s">
        <v>359</v>
      </c>
    </row>
    <row r="604" spans="1:8" x14ac:dyDescent="0.25">
      <c r="A604" s="176"/>
      <c r="B604" s="176" t="s">
        <v>348</v>
      </c>
      <c r="C604" s="180" t="s">
        <v>359</v>
      </c>
      <c r="D604" s="180" t="s">
        <v>359</v>
      </c>
      <c r="E604" s="180" t="s">
        <v>359</v>
      </c>
      <c r="F604" s="180" t="s">
        <v>359</v>
      </c>
      <c r="G604" s="180" t="s">
        <v>359</v>
      </c>
      <c r="H604" s="180" t="s">
        <v>359</v>
      </c>
    </row>
    <row r="605" spans="1:8" ht="23.25" customHeight="1" x14ac:dyDescent="0.25">
      <c r="A605" s="176"/>
      <c r="B605" s="176" t="s">
        <v>349</v>
      </c>
      <c r="C605" s="180" t="s">
        <v>359</v>
      </c>
      <c r="D605" s="180" t="s">
        <v>359</v>
      </c>
      <c r="E605" s="180" t="s">
        <v>359</v>
      </c>
      <c r="F605" s="180" t="s">
        <v>359</v>
      </c>
      <c r="G605" s="180" t="s">
        <v>359</v>
      </c>
      <c r="H605" s="180" t="s">
        <v>359</v>
      </c>
    </row>
    <row r="606" spans="1:8" x14ac:dyDescent="0.25">
      <c r="A606" s="174"/>
      <c r="B606" s="176"/>
      <c r="C606" s="176"/>
      <c r="D606" s="176"/>
      <c r="E606" s="176"/>
      <c r="F606" s="176"/>
      <c r="G606" s="176"/>
      <c r="H606" s="176"/>
    </row>
    <row r="607" spans="1:8" x14ac:dyDescent="0.25">
      <c r="A607" s="174" t="s">
        <v>361</v>
      </c>
      <c r="B607" s="176" t="s">
        <v>29</v>
      </c>
      <c r="C607" s="177">
        <v>18.159397934426231</v>
      </c>
      <c r="D607" s="177">
        <v>12.841446158730159</v>
      </c>
      <c r="E607" s="177">
        <v>9.7752751406250002</v>
      </c>
      <c r="F607" s="177">
        <v>8.7632706875000004</v>
      </c>
      <c r="G607" s="177">
        <v>10.358142693548388</v>
      </c>
      <c r="H607" s="177">
        <v>16.091042777777776</v>
      </c>
    </row>
    <row r="608" spans="1:8" x14ac:dyDescent="0.25">
      <c r="A608" s="176"/>
      <c r="B608" s="176" t="s">
        <v>347</v>
      </c>
      <c r="C608" s="178">
        <v>19.638684999999999</v>
      </c>
      <c r="D608" s="178">
        <v>19.232890000000001</v>
      </c>
      <c r="E608" s="178">
        <v>12.221342999999999</v>
      </c>
      <c r="F608" s="178">
        <v>9.7878539999999994</v>
      </c>
      <c r="G608" s="178">
        <v>11.332497999999999</v>
      </c>
      <c r="H608" s="178">
        <v>18.572583000000002</v>
      </c>
    </row>
    <row r="609" spans="1:8" x14ac:dyDescent="0.25">
      <c r="A609" s="176"/>
      <c r="B609" s="176" t="s">
        <v>348</v>
      </c>
      <c r="C609" s="178">
        <v>14.496855999999999</v>
      </c>
      <c r="D609" s="178">
        <v>10.842522000000001</v>
      </c>
      <c r="E609" s="178">
        <v>7.9918889999999996</v>
      </c>
      <c r="F609" s="178">
        <v>7.8665380000000003</v>
      </c>
      <c r="G609" s="178">
        <v>8.8958960000000005</v>
      </c>
      <c r="H609" s="178">
        <v>10.619654000000001</v>
      </c>
    </row>
    <row r="610" spans="1:8" x14ac:dyDescent="0.25">
      <c r="A610" s="176"/>
      <c r="B610" s="176" t="s">
        <v>349</v>
      </c>
      <c r="C610" s="178">
        <v>18.573723000000001</v>
      </c>
      <c r="D610" s="178">
        <v>11.781001</v>
      </c>
      <c r="E610" s="178">
        <v>8.3713859999999993</v>
      </c>
      <c r="F610" s="178">
        <v>9.4230750000000008</v>
      </c>
      <c r="G610" s="178">
        <v>10.996074999999999</v>
      </c>
      <c r="H610" s="178">
        <v>18.083145999999999</v>
      </c>
    </row>
    <row r="611" spans="1:8" x14ac:dyDescent="0.25">
      <c r="A611" s="174"/>
      <c r="B611" s="176"/>
      <c r="C611" s="176"/>
      <c r="D611" s="176"/>
      <c r="E611" s="176"/>
      <c r="F611" s="176"/>
      <c r="G611" s="176"/>
      <c r="H611" s="176"/>
    </row>
    <row r="612" spans="1:8" x14ac:dyDescent="0.25">
      <c r="A612" s="174" t="s">
        <v>362</v>
      </c>
      <c r="B612" s="176" t="s">
        <v>29</v>
      </c>
      <c r="C612" s="177">
        <v>17.959874327868853</v>
      </c>
      <c r="D612" s="177">
        <v>12.549836095238096</v>
      </c>
      <c r="E612" s="177">
        <v>9.4067218750000006</v>
      </c>
      <c r="F612" s="177">
        <v>8.3814861562500003</v>
      </c>
      <c r="G612" s="177">
        <v>9.9167748548387102</v>
      </c>
      <c r="H612" s="177">
        <v>15.730808634920635</v>
      </c>
    </row>
    <row r="613" spans="1:8" x14ac:dyDescent="0.25">
      <c r="A613" s="176"/>
      <c r="B613" s="176" t="s">
        <v>347</v>
      </c>
      <c r="C613" s="178">
        <v>19.469646000000001</v>
      </c>
      <c r="D613" s="178">
        <v>19.051265000000001</v>
      </c>
      <c r="E613" s="178">
        <v>11.920133</v>
      </c>
      <c r="F613" s="178">
        <v>9.4317569999999993</v>
      </c>
      <c r="G613" s="178">
        <v>10.88964</v>
      </c>
      <c r="H613" s="178">
        <v>18.281002999999998</v>
      </c>
    </row>
    <row r="614" spans="1:8" x14ac:dyDescent="0.25">
      <c r="A614" s="176"/>
      <c r="B614" s="176" t="s">
        <v>348</v>
      </c>
      <c r="C614" s="178">
        <v>14.259364</v>
      </c>
      <c r="D614" s="178">
        <v>10.512089</v>
      </c>
      <c r="E614" s="178">
        <v>7.5804320000000001</v>
      </c>
      <c r="F614" s="178">
        <v>7.4661780000000002</v>
      </c>
      <c r="G614" s="178">
        <v>8.3920270000000006</v>
      </c>
      <c r="H614" s="178">
        <v>10.158946</v>
      </c>
    </row>
    <row r="615" spans="1:8" x14ac:dyDescent="0.25">
      <c r="A615" s="176"/>
      <c r="B615" s="176" t="s">
        <v>349</v>
      </c>
      <c r="C615" s="178">
        <v>18.371653999999999</v>
      </c>
      <c r="D615" s="178">
        <v>11.470458000000001</v>
      </c>
      <c r="E615" s="178">
        <v>7.9684010000000001</v>
      </c>
      <c r="F615" s="178">
        <v>9.0585740000000001</v>
      </c>
      <c r="G615" s="178">
        <v>10.544793</v>
      </c>
      <c r="H615" s="178">
        <v>17.773240000000001</v>
      </c>
    </row>
    <row r="619" spans="1:8" x14ac:dyDescent="0.25">
      <c r="A619" s="143" t="s">
        <v>363</v>
      </c>
      <c r="B619" s="144"/>
      <c r="C619" s="144"/>
      <c r="D619" s="144"/>
      <c r="E619" s="144"/>
      <c r="F619" s="144"/>
      <c r="G619" s="144"/>
      <c r="H619" s="144"/>
    </row>
    <row r="620" spans="1:8" x14ac:dyDescent="0.25">
      <c r="A620" s="144"/>
      <c r="B620" s="144"/>
      <c r="C620" s="144"/>
      <c r="D620" s="144"/>
      <c r="E620" s="144"/>
      <c r="F620" s="144"/>
      <c r="G620" s="144"/>
      <c r="H620" s="144"/>
    </row>
    <row r="621" spans="1:8" x14ac:dyDescent="0.25">
      <c r="A621" s="145" t="s">
        <v>364</v>
      </c>
      <c r="B621" s="146" t="s">
        <v>340</v>
      </c>
      <c r="C621" s="144" t="s">
        <v>341</v>
      </c>
      <c r="D621" s="147" t="s">
        <v>113</v>
      </c>
      <c r="E621" s="146" t="s">
        <v>118</v>
      </c>
      <c r="F621" s="144" t="s">
        <v>119</v>
      </c>
      <c r="G621" s="144"/>
      <c r="H621" s="144"/>
    </row>
    <row r="622" spans="1:8" x14ac:dyDescent="0.25">
      <c r="A622" s="147"/>
      <c r="B622" s="146" t="s">
        <v>120</v>
      </c>
      <c r="C622" s="144" t="s">
        <v>365</v>
      </c>
      <c r="D622" s="147" t="s">
        <v>113</v>
      </c>
      <c r="E622" s="146" t="s">
        <v>122</v>
      </c>
      <c r="F622" s="144" t="s">
        <v>123</v>
      </c>
      <c r="G622" s="144"/>
      <c r="H622" s="144"/>
    </row>
    <row r="623" spans="1:8" x14ac:dyDescent="0.25">
      <c r="A623" s="147"/>
      <c r="B623" s="146" t="s">
        <v>124</v>
      </c>
      <c r="C623" s="144" t="s">
        <v>125</v>
      </c>
      <c r="D623" s="147" t="s">
        <v>113</v>
      </c>
      <c r="E623" s="146" t="s">
        <v>126</v>
      </c>
      <c r="F623" s="148" t="s">
        <v>127</v>
      </c>
      <c r="G623" s="144"/>
      <c r="H623" s="144"/>
    </row>
    <row r="624" spans="1:8" x14ac:dyDescent="0.25">
      <c r="A624" s="147"/>
      <c r="B624" s="146" t="s">
        <v>342</v>
      </c>
      <c r="C624" s="144" t="s">
        <v>343</v>
      </c>
      <c r="D624" s="147" t="s">
        <v>113</v>
      </c>
      <c r="E624" s="158"/>
      <c r="F624" s="158"/>
      <c r="G624" s="144"/>
      <c r="H624" s="144"/>
    </row>
    <row r="625" spans="1:9" x14ac:dyDescent="0.25">
      <c r="A625" s="144"/>
      <c r="B625" s="144"/>
      <c r="C625" s="144"/>
      <c r="D625" s="144"/>
      <c r="E625" s="144"/>
      <c r="F625" s="144"/>
      <c r="G625" s="144"/>
      <c r="H625" s="144"/>
    </row>
    <row r="626" spans="1:9" x14ac:dyDescent="0.25">
      <c r="A626" s="144"/>
      <c r="B626" s="144"/>
      <c r="C626" s="144"/>
      <c r="D626" s="144"/>
      <c r="E626" s="144"/>
      <c r="F626" s="144"/>
      <c r="G626" s="144"/>
      <c r="H626" s="144"/>
    </row>
    <row r="627" spans="1:9" x14ac:dyDescent="0.25">
      <c r="A627" s="149" t="s">
        <v>366</v>
      </c>
      <c r="B627" s="149"/>
      <c r="C627" s="149"/>
      <c r="D627" s="149"/>
      <c r="E627" s="149"/>
      <c r="F627" s="149"/>
      <c r="G627" s="149"/>
      <c r="H627" s="149"/>
    </row>
    <row r="628" spans="1:9" ht="31.5" x14ac:dyDescent="0.25">
      <c r="A628" s="150" t="s">
        <v>244</v>
      </c>
      <c r="B628" s="168">
        <v>43555</v>
      </c>
      <c r="C628" s="168">
        <v>43646</v>
      </c>
      <c r="D628" s="168">
        <v>43738</v>
      </c>
      <c r="E628" s="168">
        <v>43830</v>
      </c>
      <c r="F628" s="168">
        <v>43921</v>
      </c>
      <c r="G628" s="168">
        <v>44012</v>
      </c>
      <c r="H628" s="168">
        <v>44104</v>
      </c>
    </row>
    <row r="629" spans="1:9" x14ac:dyDescent="0.25">
      <c r="A629" s="150" t="s">
        <v>367</v>
      </c>
      <c r="B629" s="168">
        <v>43573</v>
      </c>
      <c r="C629" s="168">
        <v>43665</v>
      </c>
      <c r="D629" s="168">
        <v>43756</v>
      </c>
      <c r="E629" s="168">
        <v>43859</v>
      </c>
      <c r="F629" s="168">
        <v>43942</v>
      </c>
      <c r="G629" s="168">
        <v>44032</v>
      </c>
      <c r="H629" s="168">
        <v>44126</v>
      </c>
      <c r="I629" s="110" t="s">
        <v>368</v>
      </c>
    </row>
    <row r="630" spans="1:9" x14ac:dyDescent="0.25">
      <c r="A630" s="152" t="s">
        <v>136</v>
      </c>
      <c r="B630" s="153" t="s">
        <v>137</v>
      </c>
      <c r="C630" s="153" t="s">
        <v>137</v>
      </c>
      <c r="D630" s="153" t="s">
        <v>137</v>
      </c>
      <c r="E630" s="153" t="s">
        <v>137</v>
      </c>
      <c r="F630" s="153" t="s">
        <v>137</v>
      </c>
      <c r="G630" s="153" t="s">
        <v>137</v>
      </c>
      <c r="H630" s="153" t="s">
        <v>137</v>
      </c>
    </row>
    <row r="631" spans="1:9" x14ac:dyDescent="0.25">
      <c r="A631" s="154" t="s">
        <v>369</v>
      </c>
      <c r="B631" s="147"/>
      <c r="C631" s="147"/>
      <c r="D631" s="147"/>
      <c r="E631" s="147"/>
      <c r="F631" s="147"/>
      <c r="G631" s="147"/>
      <c r="H631" s="147"/>
    </row>
    <row r="632" spans="1:9" x14ac:dyDescent="0.25">
      <c r="A632" s="147" t="s">
        <v>370</v>
      </c>
      <c r="B632" s="163">
        <v>36.04</v>
      </c>
      <c r="C632" s="163">
        <v>31.51</v>
      </c>
      <c r="D632" s="163">
        <v>27.53</v>
      </c>
      <c r="E632" s="163">
        <v>34.32</v>
      </c>
      <c r="F632" s="163">
        <v>43.38</v>
      </c>
      <c r="G632" s="163">
        <v>50.24</v>
      </c>
      <c r="H632" s="163">
        <v>48.52</v>
      </c>
    </row>
    <row r="633" spans="1:9" x14ac:dyDescent="0.25">
      <c r="A633" s="147" t="s">
        <v>371</v>
      </c>
      <c r="B633" s="155">
        <v>4371.9189100000003</v>
      </c>
      <c r="C633" s="155">
        <v>4378.3488200000002</v>
      </c>
      <c r="D633" s="155">
        <v>4382.51289</v>
      </c>
      <c r="E633" s="155">
        <v>4388.0664900000002</v>
      </c>
      <c r="F633" s="155">
        <v>4397.8061799999996</v>
      </c>
      <c r="G633" s="155">
        <v>4410.1544299999996</v>
      </c>
      <c r="H633" s="160">
        <v>4417.9500799999996</v>
      </c>
      <c r="I633" s="456"/>
    </row>
    <row r="634" spans="1:9" x14ac:dyDescent="0.25">
      <c r="A634" s="147"/>
      <c r="B634" s="147"/>
      <c r="C634" s="147"/>
      <c r="D634" s="147"/>
      <c r="E634" s="147"/>
      <c r="F634" s="147"/>
      <c r="G634" s="147"/>
      <c r="H634" s="147"/>
    </row>
    <row r="635" spans="1:9" x14ac:dyDescent="0.25">
      <c r="A635" s="154" t="s">
        <v>372</v>
      </c>
      <c r="B635" s="156">
        <v>157542.09792100001</v>
      </c>
      <c r="C635" s="156"/>
      <c r="D635" s="156">
        <v>120650.57986100001</v>
      </c>
      <c r="E635" s="156">
        <v>150580.88967</v>
      </c>
      <c r="F635" s="156">
        <v>190790.02550600001</v>
      </c>
      <c r="G635" s="156">
        <v>221570.56871699999</v>
      </c>
      <c r="H635" s="156">
        <v>214372.191731</v>
      </c>
    </row>
    <row r="636" spans="1:9" x14ac:dyDescent="0.25">
      <c r="A636" s="147" t="s">
        <v>373</v>
      </c>
      <c r="B636" s="155">
        <v>3348.5569999999998</v>
      </c>
      <c r="C636" s="155">
        <v>5004.2470000000003</v>
      </c>
      <c r="D636" s="155">
        <v>4435.018</v>
      </c>
      <c r="E636" s="155">
        <v>5018.4369999999999</v>
      </c>
      <c r="F636" s="155">
        <v>5151.884</v>
      </c>
      <c r="G636" s="155">
        <v>7153.2479999999996</v>
      </c>
      <c r="H636" s="155">
        <v>8392.3909999999996</v>
      </c>
    </row>
    <row r="637" spans="1:9" x14ac:dyDescent="0.25">
      <c r="A637" s="147" t="s">
        <v>374</v>
      </c>
      <c r="B637" s="155">
        <v>11192.545</v>
      </c>
      <c r="C637" s="155">
        <v>13678.117</v>
      </c>
      <c r="D637" s="155">
        <v>13539.365</v>
      </c>
      <c r="E637" s="155">
        <v>16372.494000000001</v>
      </c>
      <c r="F637" s="155">
        <v>16265.501</v>
      </c>
      <c r="G637" s="155">
        <v>17708.159</v>
      </c>
      <c r="H637" s="160">
        <v>18137.133000000002</v>
      </c>
      <c r="I637" s="110" t="s">
        <v>368</v>
      </c>
    </row>
    <row r="638" spans="1:9" x14ac:dyDescent="0.25">
      <c r="A638" s="147" t="s">
        <v>375</v>
      </c>
      <c r="B638" s="155" t="s">
        <v>62</v>
      </c>
      <c r="C638" s="155" t="s">
        <v>62</v>
      </c>
      <c r="D638" s="155" t="s">
        <v>62</v>
      </c>
      <c r="E638" s="155" t="s">
        <v>62</v>
      </c>
      <c r="F638" s="155" t="s">
        <v>62</v>
      </c>
      <c r="G638" s="155" t="s">
        <v>62</v>
      </c>
      <c r="H638" s="155" t="s">
        <v>62</v>
      </c>
    </row>
    <row r="639" spans="1:9" x14ac:dyDescent="0.25">
      <c r="A639" s="147" t="s">
        <v>376</v>
      </c>
      <c r="B639" s="155" t="s">
        <v>62</v>
      </c>
      <c r="C639" s="155" t="s">
        <v>62</v>
      </c>
      <c r="D639" s="155" t="s">
        <v>62</v>
      </c>
      <c r="E639" s="155" t="s">
        <v>62</v>
      </c>
      <c r="F639" s="155" t="s">
        <v>62</v>
      </c>
      <c r="G639" s="155" t="s">
        <v>62</v>
      </c>
      <c r="H639" s="155" t="s">
        <v>62</v>
      </c>
    </row>
    <row r="640" spans="1:9" x14ac:dyDescent="0.25">
      <c r="A640" s="147" t="s">
        <v>377</v>
      </c>
      <c r="B640" s="155" t="s">
        <v>62</v>
      </c>
      <c r="C640" s="155" t="s">
        <v>62</v>
      </c>
      <c r="D640" s="155" t="s">
        <v>62</v>
      </c>
      <c r="E640" s="155" t="s">
        <v>62</v>
      </c>
      <c r="F640" s="155" t="s">
        <v>62</v>
      </c>
      <c r="G640" s="155" t="s">
        <v>62</v>
      </c>
      <c r="H640" s="155" t="s">
        <v>62</v>
      </c>
    </row>
    <row r="641" spans="1:8" x14ac:dyDescent="0.25">
      <c r="A641" s="154" t="s">
        <v>378</v>
      </c>
      <c r="B641" s="323">
        <v>165386.08592099999</v>
      </c>
      <c r="C641" s="323">
        <v>146635.64131800001</v>
      </c>
      <c r="D641" s="323">
        <v>129754.926861</v>
      </c>
      <c r="E641" s="323">
        <v>161934.94667</v>
      </c>
      <c r="F641" s="323">
        <v>201903.642506</v>
      </c>
      <c r="G641" s="323">
        <v>232125.47971700001</v>
      </c>
      <c r="H641" s="323">
        <v>224116.933731</v>
      </c>
    </row>
    <row r="642" spans="1:8" x14ac:dyDescent="0.25">
      <c r="A642" s="147"/>
      <c r="B642" s="147"/>
      <c r="C642" s="147"/>
      <c r="D642" s="147"/>
      <c r="E642" s="147"/>
      <c r="F642" s="147"/>
      <c r="G642" s="147"/>
      <c r="H642" s="147"/>
    </row>
    <row r="643" spans="1:8" x14ac:dyDescent="0.25">
      <c r="A643" s="147" t="s">
        <v>379</v>
      </c>
      <c r="B643" s="155">
        <v>5703.058</v>
      </c>
      <c r="C643" s="155">
        <v>6105.5479999999998</v>
      </c>
      <c r="D643" s="155">
        <v>6861.5050000000001</v>
      </c>
      <c r="E643" s="155">
        <v>7582.1570000000002</v>
      </c>
      <c r="F643" s="155">
        <v>8409.2939999999999</v>
      </c>
      <c r="G643" s="155">
        <v>9334.7530000000006</v>
      </c>
      <c r="H643" s="155">
        <v>10333.323</v>
      </c>
    </row>
    <row r="644" spans="1:8" x14ac:dyDescent="0.25">
      <c r="A644" s="147" t="s">
        <v>375</v>
      </c>
      <c r="B644" s="155" t="s">
        <v>62</v>
      </c>
      <c r="C644" s="155" t="s">
        <v>62</v>
      </c>
      <c r="D644" s="155" t="s">
        <v>62</v>
      </c>
      <c r="E644" s="155" t="s">
        <v>62</v>
      </c>
      <c r="F644" s="155" t="s">
        <v>62</v>
      </c>
      <c r="G644" s="155" t="s">
        <v>62</v>
      </c>
      <c r="H644" s="155" t="s">
        <v>62</v>
      </c>
    </row>
    <row r="645" spans="1:8" x14ac:dyDescent="0.25">
      <c r="A645" s="147" t="s">
        <v>376</v>
      </c>
      <c r="B645" s="155" t="s">
        <v>62</v>
      </c>
      <c r="C645" s="155" t="s">
        <v>62</v>
      </c>
      <c r="D645" s="155" t="s">
        <v>62</v>
      </c>
      <c r="E645" s="155" t="s">
        <v>62</v>
      </c>
      <c r="F645" s="155" t="s">
        <v>62</v>
      </c>
      <c r="G645" s="155" t="s">
        <v>62</v>
      </c>
      <c r="H645" s="155" t="s">
        <v>62</v>
      </c>
    </row>
    <row r="646" spans="1:8" x14ac:dyDescent="0.25">
      <c r="A646" s="147" t="s">
        <v>374</v>
      </c>
      <c r="B646" s="155">
        <v>11192.545</v>
      </c>
      <c r="C646" s="155">
        <v>13678.117</v>
      </c>
      <c r="D646" s="155">
        <v>13539.365</v>
      </c>
      <c r="E646" s="155">
        <v>16372.494000000001</v>
      </c>
      <c r="F646" s="155">
        <v>16265.501</v>
      </c>
      <c r="G646" s="155">
        <v>17708.159</v>
      </c>
      <c r="H646" s="155">
        <v>18137.133000000002</v>
      </c>
    </row>
    <row r="647" spans="1:8" x14ac:dyDescent="0.25">
      <c r="A647" s="154" t="s">
        <v>380</v>
      </c>
      <c r="B647" s="323">
        <v>16895.602999999999</v>
      </c>
      <c r="C647" s="323">
        <v>19783.665000000001</v>
      </c>
      <c r="D647" s="323">
        <v>20400.87</v>
      </c>
      <c r="E647" s="323">
        <v>23954.651000000002</v>
      </c>
      <c r="F647" s="323">
        <v>24674.794999999998</v>
      </c>
      <c r="G647" s="323">
        <v>27042.912</v>
      </c>
      <c r="H647" s="323">
        <v>28470.455999999998</v>
      </c>
    </row>
    <row r="650" spans="1:8" x14ac:dyDescent="0.25">
      <c r="A650" s="143" t="s">
        <v>381</v>
      </c>
      <c r="B650" s="144"/>
      <c r="C650" s="144"/>
      <c r="D650" s="144"/>
      <c r="E650" s="144"/>
      <c r="F650" s="144"/>
      <c r="G650" s="144"/>
      <c r="H650" s="144"/>
    </row>
    <row r="651" spans="1:8" x14ac:dyDescent="0.25">
      <c r="A651" s="144"/>
      <c r="B651" s="144"/>
      <c r="C651" s="144"/>
      <c r="D651" s="144"/>
      <c r="E651" s="144"/>
      <c r="F651" s="144"/>
      <c r="G651" s="144"/>
      <c r="H651" s="144"/>
    </row>
    <row r="652" spans="1:8" x14ac:dyDescent="0.25">
      <c r="A652" s="145" t="s">
        <v>382</v>
      </c>
      <c r="B652" s="146" t="s">
        <v>114</v>
      </c>
      <c r="C652" s="144" t="s">
        <v>115</v>
      </c>
      <c r="D652" s="147" t="s">
        <v>113</v>
      </c>
      <c r="E652" s="146" t="s">
        <v>116</v>
      </c>
      <c r="F652" s="144" t="s">
        <v>117</v>
      </c>
      <c r="G652" s="144"/>
      <c r="H652" s="144"/>
    </row>
    <row r="653" spans="1:8" x14ac:dyDescent="0.25">
      <c r="A653" s="147"/>
      <c r="B653" s="146" t="s">
        <v>120</v>
      </c>
      <c r="C653" s="144" t="s">
        <v>121</v>
      </c>
      <c r="D653" s="147" t="s">
        <v>113</v>
      </c>
      <c r="E653" s="146" t="s">
        <v>122</v>
      </c>
      <c r="F653" s="144" t="s">
        <v>123</v>
      </c>
      <c r="G653" s="144"/>
      <c r="H653" s="144"/>
    </row>
    <row r="654" spans="1:8" x14ac:dyDescent="0.25">
      <c r="A654" s="147"/>
      <c r="B654" s="146" t="s">
        <v>124</v>
      </c>
      <c r="C654" s="144" t="s">
        <v>125</v>
      </c>
      <c r="D654" s="147" t="s">
        <v>113</v>
      </c>
      <c r="E654" s="146" t="s">
        <v>126</v>
      </c>
      <c r="F654" s="148" t="s">
        <v>127</v>
      </c>
      <c r="G654" s="144"/>
      <c r="H654" s="144"/>
    </row>
    <row r="655" spans="1:8" x14ac:dyDescent="0.25">
      <c r="A655" s="147"/>
      <c r="B655" s="146" t="s">
        <v>118</v>
      </c>
      <c r="C655" s="144" t="s">
        <v>119</v>
      </c>
      <c r="D655" s="147" t="s">
        <v>113</v>
      </c>
      <c r="E655" s="158"/>
      <c r="F655" s="158"/>
      <c r="G655" s="144"/>
      <c r="H655" s="144"/>
    </row>
    <row r="656" spans="1:8" x14ac:dyDescent="0.25">
      <c r="A656" s="144"/>
      <c r="B656" s="144"/>
      <c r="C656" s="144"/>
      <c r="D656" s="144"/>
      <c r="E656" s="144"/>
      <c r="F656" s="144"/>
      <c r="G656" s="144"/>
      <c r="H656" s="144"/>
    </row>
    <row r="657" spans="1:8" x14ac:dyDescent="0.25">
      <c r="A657" s="144"/>
      <c r="B657" s="144"/>
      <c r="C657" s="144"/>
      <c r="D657" s="144"/>
      <c r="E657" s="144"/>
      <c r="F657" s="144"/>
      <c r="G657" s="144"/>
      <c r="H657" s="144"/>
    </row>
    <row r="658" spans="1:8" x14ac:dyDescent="0.25">
      <c r="A658" s="149" t="s">
        <v>383</v>
      </c>
      <c r="B658" s="149"/>
      <c r="C658" s="149"/>
      <c r="D658" s="149"/>
      <c r="E658" s="149"/>
      <c r="F658" s="149"/>
      <c r="G658" s="149"/>
      <c r="H658" s="149"/>
    </row>
    <row r="659" spans="1:8" ht="31.5" x14ac:dyDescent="0.25">
      <c r="A659" s="150" t="s">
        <v>384</v>
      </c>
      <c r="B659" s="474" t="s">
        <v>385</v>
      </c>
      <c r="C659" s="475"/>
      <c r="D659" s="474" t="s">
        <v>386</v>
      </c>
      <c r="E659" s="475"/>
      <c r="F659" s="474" t="s">
        <v>387</v>
      </c>
      <c r="G659" s="475"/>
      <c r="H659" s="181" t="s">
        <v>388</v>
      </c>
    </row>
    <row r="660" spans="1:8" x14ac:dyDescent="0.25">
      <c r="A660" s="152" t="s">
        <v>389</v>
      </c>
      <c r="B660" s="153" t="s">
        <v>390</v>
      </c>
      <c r="C660" s="153"/>
      <c r="D660" s="153" t="s">
        <v>390</v>
      </c>
      <c r="E660" s="153"/>
      <c r="F660" s="153" t="s">
        <v>390</v>
      </c>
      <c r="G660" s="153"/>
      <c r="H660" s="153" t="s">
        <v>390</v>
      </c>
    </row>
    <row r="661" spans="1:8" x14ac:dyDescent="0.25">
      <c r="A661" s="150" t="s">
        <v>391</v>
      </c>
      <c r="B661" s="151" t="s">
        <v>392</v>
      </c>
      <c r="C661" s="151" t="s">
        <v>393</v>
      </c>
      <c r="D661" s="151" t="s">
        <v>392</v>
      </c>
      <c r="E661" s="151" t="s">
        <v>393</v>
      </c>
      <c r="F661" s="151" t="s">
        <v>392</v>
      </c>
      <c r="G661" s="151" t="s">
        <v>393</v>
      </c>
      <c r="H661" s="151" t="s">
        <v>392</v>
      </c>
    </row>
    <row r="662" spans="1:8" x14ac:dyDescent="0.25">
      <c r="A662" s="154" t="s">
        <v>155</v>
      </c>
      <c r="B662" s="147"/>
      <c r="C662" s="182"/>
      <c r="D662" s="147"/>
      <c r="E662" s="182"/>
      <c r="F662" s="147"/>
      <c r="G662" s="182"/>
      <c r="H662" s="147"/>
    </row>
    <row r="663" spans="1:8" x14ac:dyDescent="0.25">
      <c r="A663" s="147" t="s">
        <v>277</v>
      </c>
      <c r="B663" s="155">
        <v>16372.494000000001</v>
      </c>
      <c r="C663" s="183">
        <v>0.68347871150399997</v>
      </c>
      <c r="D663" s="155">
        <v>18510.826000000001</v>
      </c>
      <c r="E663" s="183">
        <v>0.62587181134900005</v>
      </c>
      <c r="F663" s="155">
        <v>18116.57</v>
      </c>
      <c r="G663" s="183">
        <v>0.53337652577700001</v>
      </c>
      <c r="H663" s="155">
        <v>16931.563999999998</v>
      </c>
    </row>
    <row r="664" spans="1:8" x14ac:dyDescent="0.25">
      <c r="A664" s="147" t="s">
        <v>394</v>
      </c>
      <c r="B664" s="155">
        <v>7582.1570000000002</v>
      </c>
      <c r="C664" s="183">
        <v>0.31652128849599998</v>
      </c>
      <c r="D664" s="155">
        <v>11065.24</v>
      </c>
      <c r="E664" s="183">
        <v>0.374128188651</v>
      </c>
      <c r="F664" s="155">
        <v>15849.248</v>
      </c>
      <c r="G664" s="183">
        <v>0.46662347422299999</v>
      </c>
      <c r="H664" s="155">
        <v>20777.401000000002</v>
      </c>
    </row>
    <row r="665" spans="1:8" x14ac:dyDescent="0.25">
      <c r="A665" s="154" t="s">
        <v>395</v>
      </c>
      <c r="B665" s="156">
        <v>23954.651000000002</v>
      </c>
      <c r="C665" s="184">
        <v>1</v>
      </c>
      <c r="D665" s="156">
        <v>29576.065999999999</v>
      </c>
      <c r="E665" s="184">
        <v>1</v>
      </c>
      <c r="F665" s="156">
        <v>33965.817999999999</v>
      </c>
      <c r="G665" s="184">
        <v>1</v>
      </c>
      <c r="H665" s="156">
        <v>37708.964999999997</v>
      </c>
    </row>
    <row r="666" spans="1:8" x14ac:dyDescent="0.25">
      <c r="A666" s="147"/>
      <c r="B666" s="147"/>
      <c r="C666" s="182"/>
      <c r="D666" s="147"/>
      <c r="E666" s="182"/>
      <c r="F666" s="147"/>
      <c r="G666" s="182"/>
      <c r="H666" s="147"/>
    </row>
    <row r="667" spans="1:8" x14ac:dyDescent="0.25">
      <c r="A667" s="185"/>
      <c r="B667" s="185"/>
      <c r="C667" s="185"/>
      <c r="D667" s="185"/>
      <c r="E667" s="185"/>
      <c r="F667" s="185"/>
      <c r="G667" s="185"/>
      <c r="H667" s="185"/>
    </row>
    <row r="668" spans="1:8" x14ac:dyDescent="0.25">
      <c r="A668" s="144"/>
      <c r="B668" s="144"/>
      <c r="C668" s="144"/>
      <c r="D668" s="144"/>
      <c r="E668" s="144"/>
      <c r="F668" s="144"/>
      <c r="G668" s="144"/>
      <c r="H668" s="144"/>
    </row>
    <row r="669" spans="1:8" x14ac:dyDescent="0.25">
      <c r="A669" s="149" t="s">
        <v>396</v>
      </c>
      <c r="B669" s="149"/>
      <c r="C669" s="149"/>
      <c r="D669" s="149"/>
      <c r="E669" s="149"/>
      <c r="F669" s="149"/>
      <c r="G669" s="149"/>
      <c r="H669" s="149"/>
    </row>
    <row r="670" spans="1:8" ht="31.5" x14ac:dyDescent="0.25">
      <c r="A670" s="150" t="s">
        <v>384</v>
      </c>
      <c r="B670" s="474" t="s">
        <v>385</v>
      </c>
      <c r="C670" s="475"/>
      <c r="D670" s="474" t="s">
        <v>386</v>
      </c>
      <c r="E670" s="475"/>
      <c r="F670" s="474" t="s">
        <v>387</v>
      </c>
      <c r="G670" s="475"/>
      <c r="H670" s="181" t="s">
        <v>388</v>
      </c>
    </row>
    <row r="671" spans="1:8" x14ac:dyDescent="0.25">
      <c r="A671" s="152" t="s">
        <v>389</v>
      </c>
      <c r="B671" s="153" t="s">
        <v>390</v>
      </c>
      <c r="C671" s="153"/>
      <c r="D671" s="153" t="s">
        <v>390</v>
      </c>
      <c r="E671" s="153"/>
      <c r="F671" s="153" t="s">
        <v>390</v>
      </c>
      <c r="G671" s="153"/>
      <c r="H671" s="153" t="s">
        <v>390</v>
      </c>
    </row>
    <row r="672" spans="1:8" x14ac:dyDescent="0.25">
      <c r="A672" s="150" t="s">
        <v>391</v>
      </c>
      <c r="B672" s="151" t="s">
        <v>392</v>
      </c>
      <c r="C672" s="151" t="s">
        <v>393</v>
      </c>
      <c r="D672" s="151" t="s">
        <v>392</v>
      </c>
      <c r="E672" s="151" t="s">
        <v>393</v>
      </c>
      <c r="F672" s="151" t="s">
        <v>392</v>
      </c>
      <c r="G672" s="151" t="s">
        <v>393</v>
      </c>
      <c r="H672" s="151" t="s">
        <v>392</v>
      </c>
    </row>
    <row r="673" spans="1:8" x14ac:dyDescent="0.25">
      <c r="A673" s="154" t="s">
        <v>155</v>
      </c>
      <c r="B673" s="147"/>
      <c r="C673" s="182"/>
      <c r="D673" s="147"/>
      <c r="E673" s="182"/>
      <c r="F673" s="147"/>
      <c r="G673" s="182"/>
      <c r="H673" s="147"/>
    </row>
    <row r="674" spans="1:8" x14ac:dyDescent="0.25">
      <c r="A674" s="147" t="s">
        <v>397</v>
      </c>
      <c r="B674" s="155" t="s">
        <v>62</v>
      </c>
      <c r="C674" s="183" t="s">
        <v>62</v>
      </c>
      <c r="D674" s="155" t="s">
        <v>62</v>
      </c>
      <c r="E674" s="183" t="s">
        <v>62</v>
      </c>
      <c r="F674" s="155" t="s">
        <v>62</v>
      </c>
      <c r="G674" s="183" t="s">
        <v>62</v>
      </c>
      <c r="H674" s="155" t="s">
        <v>62</v>
      </c>
    </row>
    <row r="675" spans="1:8" x14ac:dyDescent="0.25">
      <c r="A675" s="147" t="s">
        <v>398</v>
      </c>
      <c r="B675" s="155">
        <v>0</v>
      </c>
      <c r="C675" s="183">
        <v>0</v>
      </c>
      <c r="D675" s="155">
        <v>0</v>
      </c>
      <c r="E675" s="183">
        <v>0</v>
      </c>
      <c r="F675" s="155">
        <v>0</v>
      </c>
      <c r="G675" s="183">
        <v>0</v>
      </c>
      <c r="H675" s="155">
        <v>0</v>
      </c>
    </row>
    <row r="676" spans="1:8" x14ac:dyDescent="0.25">
      <c r="A676" s="147" t="s">
        <v>399</v>
      </c>
      <c r="B676" s="155">
        <v>14873</v>
      </c>
      <c r="C676" s="183">
        <v>0.90841300000000003</v>
      </c>
      <c r="D676" s="155">
        <v>16416</v>
      </c>
      <c r="E676" s="183">
        <v>0.88683199999999995</v>
      </c>
      <c r="F676" s="155">
        <v>15485</v>
      </c>
      <c r="G676" s="183">
        <v>0.854742</v>
      </c>
      <c r="H676" s="155">
        <v>14432</v>
      </c>
    </row>
    <row r="677" spans="1:8" x14ac:dyDescent="0.25">
      <c r="A677" s="147" t="s">
        <v>400</v>
      </c>
      <c r="B677" s="155">
        <v>1613.2339999999999</v>
      </c>
      <c r="C677" s="183">
        <v>9.8532999999999996E-2</v>
      </c>
      <c r="D677" s="155">
        <v>2201.8530000000001</v>
      </c>
      <c r="E677" s="183">
        <v>0.118949</v>
      </c>
      <c r="F677" s="155">
        <v>2723.6750000000002</v>
      </c>
      <c r="G677" s="183">
        <v>0.150341</v>
      </c>
      <c r="H677" s="155">
        <v>2578.4879999999998</v>
      </c>
    </row>
    <row r="678" spans="1:8" x14ac:dyDescent="0.25">
      <c r="A678" s="154" t="s">
        <v>401</v>
      </c>
      <c r="B678" s="156">
        <v>16486.234</v>
      </c>
      <c r="C678" s="184">
        <v>1.006947</v>
      </c>
      <c r="D678" s="156">
        <v>18617.852999999999</v>
      </c>
      <c r="E678" s="184">
        <v>1.005781</v>
      </c>
      <c r="F678" s="156">
        <v>18208.674999999999</v>
      </c>
      <c r="G678" s="184">
        <v>1.0050840000000001</v>
      </c>
      <c r="H678" s="156">
        <v>17010.488000000001</v>
      </c>
    </row>
    <row r="679" spans="1:8" x14ac:dyDescent="0.25">
      <c r="A679" s="147"/>
      <c r="B679" s="147"/>
      <c r="C679" s="182"/>
      <c r="D679" s="147"/>
      <c r="E679" s="182"/>
      <c r="F679" s="147"/>
      <c r="G679" s="182"/>
      <c r="H679" s="147"/>
    </row>
    <row r="680" spans="1:8" x14ac:dyDescent="0.25">
      <c r="A680" s="147" t="s">
        <v>402</v>
      </c>
      <c r="B680" s="155">
        <v>-113.7</v>
      </c>
      <c r="C680" s="183">
        <v>-6.9470000000000001E-3</v>
      </c>
      <c r="D680" s="155">
        <v>-107</v>
      </c>
      <c r="E680" s="183">
        <v>-5.7809999999999997E-3</v>
      </c>
      <c r="F680" s="155">
        <v>-92.1</v>
      </c>
      <c r="G680" s="183">
        <v>-5.084E-3</v>
      </c>
      <c r="H680" s="155">
        <v>-78.900000000000006</v>
      </c>
    </row>
    <row r="681" spans="1:8" x14ac:dyDescent="0.25">
      <c r="A681" s="154" t="s">
        <v>403</v>
      </c>
      <c r="B681" s="156">
        <v>16372.494000000001</v>
      </c>
      <c r="C681" s="184">
        <v>1</v>
      </c>
      <c r="D681" s="156">
        <v>18510.826000000001</v>
      </c>
      <c r="E681" s="184">
        <v>1</v>
      </c>
      <c r="F681" s="156">
        <v>18116.57</v>
      </c>
      <c r="G681" s="184">
        <v>1</v>
      </c>
      <c r="H681" s="156">
        <v>16931.563999999998</v>
      </c>
    </row>
    <row r="682" spans="1:8" x14ac:dyDescent="0.25">
      <c r="A682" s="147"/>
      <c r="B682" s="147"/>
      <c r="C682" s="182"/>
      <c r="D682" s="147"/>
      <c r="E682" s="182"/>
      <c r="F682" s="147"/>
      <c r="G682" s="182"/>
      <c r="H682" s="147"/>
    </row>
    <row r="683" spans="1:8" x14ac:dyDescent="0.25">
      <c r="A683" s="154" t="s">
        <v>404</v>
      </c>
      <c r="B683" s="147"/>
      <c r="C683" s="182"/>
      <c r="D683" s="147"/>
      <c r="E683" s="182"/>
      <c r="F683" s="147"/>
      <c r="G683" s="182"/>
      <c r="H683" s="147"/>
    </row>
    <row r="684" spans="1:8" x14ac:dyDescent="0.25">
      <c r="A684" s="147" t="s">
        <v>405</v>
      </c>
      <c r="B684" s="155" t="s">
        <v>62</v>
      </c>
      <c r="C684" s="183" t="s">
        <v>62</v>
      </c>
      <c r="D684" s="155" t="s">
        <v>62</v>
      </c>
      <c r="E684" s="183" t="s">
        <v>62</v>
      </c>
      <c r="F684" s="155" t="s">
        <v>62</v>
      </c>
      <c r="G684" s="183" t="s">
        <v>62</v>
      </c>
      <c r="H684" s="155" t="s">
        <v>62</v>
      </c>
    </row>
    <row r="685" spans="1:8" x14ac:dyDescent="0.25">
      <c r="A685" s="147" t="s">
        <v>406</v>
      </c>
      <c r="B685" s="155" t="s">
        <v>62</v>
      </c>
      <c r="C685" s="183" t="s">
        <v>62</v>
      </c>
      <c r="D685" s="155" t="s">
        <v>62</v>
      </c>
      <c r="E685" s="183" t="s">
        <v>62</v>
      </c>
      <c r="F685" s="155" t="s">
        <v>62</v>
      </c>
      <c r="G685" s="183" t="s">
        <v>62</v>
      </c>
      <c r="H685" s="155" t="s">
        <v>62</v>
      </c>
    </row>
    <row r="686" spans="1:8" x14ac:dyDescent="0.25">
      <c r="A686" s="154" t="s">
        <v>407</v>
      </c>
      <c r="B686" s="156" t="s">
        <v>62</v>
      </c>
      <c r="C686" s="184" t="s">
        <v>62</v>
      </c>
      <c r="D686" s="156" t="s">
        <v>62</v>
      </c>
      <c r="E686" s="184" t="s">
        <v>62</v>
      </c>
      <c r="F686" s="156" t="s">
        <v>62</v>
      </c>
      <c r="G686" s="184" t="s">
        <v>62</v>
      </c>
      <c r="H686" s="156" t="s">
        <v>62</v>
      </c>
    </row>
    <row r="687" spans="1:8" x14ac:dyDescent="0.25">
      <c r="A687" s="147"/>
      <c r="B687" s="147"/>
      <c r="C687" s="182"/>
      <c r="D687" s="147"/>
      <c r="E687" s="182"/>
      <c r="F687" s="147"/>
      <c r="G687" s="182"/>
      <c r="H687" s="147"/>
    </row>
    <row r="688" spans="1:8" x14ac:dyDescent="0.25">
      <c r="A688" s="154" t="s">
        <v>408</v>
      </c>
      <c r="B688" s="147"/>
      <c r="C688" s="182"/>
      <c r="D688" s="147"/>
      <c r="E688" s="182"/>
      <c r="F688" s="147"/>
      <c r="G688" s="182"/>
      <c r="H688" s="147"/>
    </row>
    <row r="689" spans="1:8" x14ac:dyDescent="0.25">
      <c r="A689" s="147" t="s">
        <v>409</v>
      </c>
      <c r="B689" s="155">
        <v>5018.4369999999999</v>
      </c>
      <c r="C689" s="183" t="s">
        <v>62</v>
      </c>
      <c r="D689" s="155">
        <v>8205.5499999999993</v>
      </c>
      <c r="E689" s="183" t="s">
        <v>62</v>
      </c>
      <c r="F689" s="155">
        <v>6027.8040000000001</v>
      </c>
      <c r="G689" s="183" t="s">
        <v>62</v>
      </c>
      <c r="H689" s="155">
        <v>6058.4520000000002</v>
      </c>
    </row>
    <row r="690" spans="1:8" x14ac:dyDescent="0.25">
      <c r="A690" s="147" t="s">
        <v>278</v>
      </c>
      <c r="B690" s="155">
        <v>11354.057000000001</v>
      </c>
      <c r="C690" s="183" t="s">
        <v>62</v>
      </c>
      <c r="D690" s="155">
        <v>10305.276</v>
      </c>
      <c r="E690" s="183" t="s">
        <v>62</v>
      </c>
      <c r="F690" s="155">
        <v>12088.766</v>
      </c>
      <c r="G690" s="183" t="s">
        <v>62</v>
      </c>
      <c r="H690" s="155">
        <v>10873.111999999999</v>
      </c>
    </row>
    <row r="691" spans="1:8" x14ac:dyDescent="0.25">
      <c r="A691" s="147" t="s">
        <v>410</v>
      </c>
      <c r="B691" s="155">
        <v>16486.234</v>
      </c>
      <c r="C691" s="183">
        <v>1.006947</v>
      </c>
      <c r="D691" s="155">
        <v>18617.852999999999</v>
      </c>
      <c r="E691" s="183">
        <v>1.005781</v>
      </c>
      <c r="F691" s="155">
        <v>18208.674999999999</v>
      </c>
      <c r="G691" s="183">
        <v>1.0050840000000001</v>
      </c>
      <c r="H691" s="155">
        <v>17010.488000000001</v>
      </c>
    </row>
    <row r="692" spans="1:8" x14ac:dyDescent="0.25">
      <c r="A692" s="147" t="s">
        <v>411</v>
      </c>
      <c r="B692" s="155">
        <v>190.62200000000001</v>
      </c>
      <c r="C692" s="183">
        <v>1.1642E-2</v>
      </c>
      <c r="D692" s="155">
        <v>756.1</v>
      </c>
      <c r="E692" s="183">
        <v>4.0846E-2</v>
      </c>
      <c r="F692" s="155">
        <v>1015.0119999999999</v>
      </c>
      <c r="G692" s="183">
        <v>5.6025999999999999E-2</v>
      </c>
      <c r="H692" s="155">
        <v>355.98500000000001</v>
      </c>
    </row>
    <row r="693" spans="1:8" x14ac:dyDescent="0.25">
      <c r="A693" s="147" t="s">
        <v>412</v>
      </c>
      <c r="B693" s="155">
        <v>16181.871999999999</v>
      </c>
      <c r="C693" s="183">
        <v>0.98835700000000004</v>
      </c>
      <c r="D693" s="155">
        <v>17754.725999999999</v>
      </c>
      <c r="E693" s="183">
        <v>0.95915300000000003</v>
      </c>
      <c r="F693" s="155">
        <v>17101.558000000001</v>
      </c>
      <c r="G693" s="183">
        <v>0.94397299999999995</v>
      </c>
      <c r="H693" s="155">
        <v>16575.579000000002</v>
      </c>
    </row>
    <row r="694" spans="1:8" x14ac:dyDescent="0.25">
      <c r="A694" s="147" t="s">
        <v>413</v>
      </c>
      <c r="B694" s="155">
        <v>0</v>
      </c>
      <c r="C694" s="183">
        <v>0</v>
      </c>
      <c r="D694" s="155">
        <v>0</v>
      </c>
      <c r="E694" s="183">
        <v>0</v>
      </c>
      <c r="F694" s="155">
        <v>0</v>
      </c>
      <c r="G694" s="183">
        <v>0</v>
      </c>
      <c r="H694" s="155">
        <v>0</v>
      </c>
    </row>
    <row r="695" spans="1:8" x14ac:dyDescent="0.25">
      <c r="A695" s="147" t="s">
        <v>414</v>
      </c>
      <c r="B695" s="155">
        <v>1613.2339999999999</v>
      </c>
      <c r="C695" s="183">
        <v>9.8532999999999996E-2</v>
      </c>
      <c r="D695" s="155">
        <v>2201.8530000000001</v>
      </c>
      <c r="E695" s="183">
        <v>0.118949</v>
      </c>
      <c r="F695" s="155">
        <v>2723.6750000000002</v>
      </c>
      <c r="G695" s="183">
        <v>0.150341</v>
      </c>
      <c r="H695" s="155">
        <v>2578.4879999999998</v>
      </c>
    </row>
    <row r="696" spans="1:8" x14ac:dyDescent="0.25">
      <c r="A696" s="147" t="s">
        <v>415</v>
      </c>
      <c r="B696" s="155">
        <v>1613.2339999999999</v>
      </c>
      <c r="C696" s="183">
        <v>9.8532999999999996E-2</v>
      </c>
      <c r="D696" s="155">
        <v>2201.8530000000001</v>
      </c>
      <c r="E696" s="183">
        <v>0.118949</v>
      </c>
      <c r="F696" s="155">
        <v>2723.6750000000002</v>
      </c>
      <c r="G696" s="183">
        <v>0.150341</v>
      </c>
      <c r="H696" s="155">
        <v>2578.4879999999998</v>
      </c>
    </row>
    <row r="697" spans="1:8" x14ac:dyDescent="0.25">
      <c r="A697" s="147" t="s">
        <v>416</v>
      </c>
      <c r="B697" s="155">
        <v>14873</v>
      </c>
      <c r="C697" s="183">
        <v>0.90841300000000003</v>
      </c>
      <c r="D697" s="155">
        <v>16416</v>
      </c>
      <c r="E697" s="183">
        <v>0.88683199999999995</v>
      </c>
      <c r="F697" s="155">
        <v>15485</v>
      </c>
      <c r="G697" s="183">
        <v>0.854742</v>
      </c>
      <c r="H697" s="155">
        <v>14432</v>
      </c>
    </row>
    <row r="698" spans="1:8" x14ac:dyDescent="0.25">
      <c r="A698" s="147" t="s">
        <v>417</v>
      </c>
      <c r="B698" s="155">
        <v>14873</v>
      </c>
      <c r="C698" s="183">
        <v>0.90841300000000003</v>
      </c>
      <c r="D698" s="155">
        <v>16416</v>
      </c>
      <c r="E698" s="183">
        <v>0.88683199999999995</v>
      </c>
      <c r="F698" s="155">
        <v>15485</v>
      </c>
      <c r="G698" s="183">
        <v>0.854742</v>
      </c>
      <c r="H698" s="155">
        <v>14432</v>
      </c>
    </row>
    <row r="699" spans="1:8" x14ac:dyDescent="0.25">
      <c r="A699" s="147" t="s">
        <v>418</v>
      </c>
      <c r="B699" s="155">
        <v>14873</v>
      </c>
      <c r="C699" s="183">
        <v>0.90841300000000003</v>
      </c>
      <c r="D699" s="155">
        <v>16416</v>
      </c>
      <c r="E699" s="183">
        <v>0.88683199999999995</v>
      </c>
      <c r="F699" s="155">
        <v>15485</v>
      </c>
      <c r="G699" s="183">
        <v>0.854742</v>
      </c>
      <c r="H699" s="155">
        <v>14432</v>
      </c>
    </row>
    <row r="700" spans="1:8" x14ac:dyDescent="0.25">
      <c r="A700" s="147" t="s">
        <v>419</v>
      </c>
      <c r="B700" s="155">
        <v>0</v>
      </c>
      <c r="C700" s="183">
        <v>0</v>
      </c>
      <c r="D700" s="155">
        <v>0</v>
      </c>
      <c r="E700" s="183">
        <v>0</v>
      </c>
      <c r="F700" s="155">
        <v>0</v>
      </c>
      <c r="G700" s="183">
        <v>0</v>
      </c>
      <c r="H700" s="155">
        <v>0</v>
      </c>
    </row>
    <row r="701" spans="1:8" x14ac:dyDescent="0.25">
      <c r="A701" s="147"/>
      <c r="B701" s="147"/>
      <c r="C701" s="182"/>
      <c r="D701" s="147"/>
      <c r="E701" s="182"/>
      <c r="F701" s="147"/>
      <c r="G701" s="182"/>
      <c r="H701" s="147"/>
    </row>
    <row r="702" spans="1:8" x14ac:dyDescent="0.25">
      <c r="A702" s="154" t="s">
        <v>420</v>
      </c>
      <c r="B702" s="147"/>
      <c r="C702" s="182"/>
      <c r="D702" s="147"/>
      <c r="E702" s="182"/>
      <c r="F702" s="147"/>
      <c r="G702" s="182"/>
      <c r="H702" s="147"/>
    </row>
    <row r="703" spans="1:8" x14ac:dyDescent="0.25">
      <c r="A703" s="147" t="s">
        <v>421</v>
      </c>
      <c r="B703" s="170">
        <v>3.5979260000000002</v>
      </c>
      <c r="C703" s="183" t="s">
        <v>62</v>
      </c>
      <c r="D703" s="170">
        <v>2.0043280000000001</v>
      </c>
      <c r="E703" s="183" t="s">
        <v>62</v>
      </c>
      <c r="F703" s="170">
        <v>1.7405200000000001</v>
      </c>
      <c r="G703" s="183" t="s">
        <v>62</v>
      </c>
      <c r="H703" s="170">
        <v>1.652965</v>
      </c>
    </row>
    <row r="704" spans="1:8" x14ac:dyDescent="0.25">
      <c r="A704" s="147" t="s">
        <v>422</v>
      </c>
      <c r="B704" s="170">
        <v>5.1881919999999999</v>
      </c>
      <c r="C704" s="183" t="s">
        <v>62</v>
      </c>
      <c r="D704" s="170">
        <v>3.6002700000000001</v>
      </c>
      <c r="E704" s="183" t="s">
        <v>62</v>
      </c>
      <c r="F704" s="170">
        <v>2.6083919999999998</v>
      </c>
      <c r="G704" s="183" t="s">
        <v>62</v>
      </c>
      <c r="H704" s="170">
        <v>2.5739909999999999</v>
      </c>
    </row>
    <row r="705" spans="1:8" x14ac:dyDescent="0.25">
      <c r="A705" s="147" t="s">
        <v>423</v>
      </c>
      <c r="B705" s="170">
        <v>5.2242350000000002</v>
      </c>
      <c r="C705" s="183" t="s">
        <v>62</v>
      </c>
      <c r="D705" s="170">
        <v>3.621086</v>
      </c>
      <c r="E705" s="183" t="s">
        <v>62</v>
      </c>
      <c r="F705" s="170">
        <v>2.6216539999999999</v>
      </c>
      <c r="G705" s="183" t="s">
        <v>62</v>
      </c>
      <c r="H705" s="170">
        <v>2.5859890000000001</v>
      </c>
    </row>
    <row r="706" spans="1:8" x14ac:dyDescent="0.25">
      <c r="A706" s="147" t="s">
        <v>424</v>
      </c>
      <c r="B706" s="170">
        <v>0.51120900000000002</v>
      </c>
      <c r="C706" s="183" t="s">
        <v>62</v>
      </c>
      <c r="D706" s="170">
        <v>0.42825000000000002</v>
      </c>
      <c r="E706" s="183" t="s">
        <v>62</v>
      </c>
      <c r="F706" s="170">
        <v>0.39215</v>
      </c>
      <c r="G706" s="183" t="s">
        <v>62</v>
      </c>
      <c r="H706" s="170">
        <v>0.39199000000000001</v>
      </c>
    </row>
    <row r="707" spans="1:8" x14ac:dyDescent="0.25">
      <c r="A707" s="147" t="s">
        <v>425</v>
      </c>
      <c r="B707" s="170">
        <v>3.9115669999999998</v>
      </c>
      <c r="C707" s="183" t="s">
        <v>62</v>
      </c>
      <c r="D707" s="170">
        <v>2.219249</v>
      </c>
      <c r="E707" s="183" t="s">
        <v>62</v>
      </c>
      <c r="F707" s="170">
        <v>1.882719</v>
      </c>
      <c r="G707" s="183" t="s">
        <v>62</v>
      </c>
      <c r="H707" s="170">
        <v>1.762194</v>
      </c>
    </row>
    <row r="708" spans="1:8" x14ac:dyDescent="0.25">
      <c r="A708" s="147" t="s">
        <v>426</v>
      </c>
      <c r="B708" s="170">
        <v>5.6404610000000002</v>
      </c>
      <c r="C708" s="183" t="s">
        <v>62</v>
      </c>
      <c r="D708" s="170">
        <v>3.9863200000000001</v>
      </c>
      <c r="E708" s="183" t="s">
        <v>62</v>
      </c>
      <c r="F708" s="170">
        <v>2.8214969999999999</v>
      </c>
      <c r="G708" s="183" t="s">
        <v>62</v>
      </c>
      <c r="H708" s="170">
        <v>2.744081</v>
      </c>
    </row>
    <row r="709" spans="1:8" x14ac:dyDescent="0.25">
      <c r="A709" s="147" t="s">
        <v>427</v>
      </c>
      <c r="B709" s="170">
        <v>5.6796449999999998</v>
      </c>
      <c r="C709" s="183" t="s">
        <v>62</v>
      </c>
      <c r="D709" s="170">
        <v>4.0093680000000003</v>
      </c>
      <c r="E709" s="183" t="s">
        <v>62</v>
      </c>
      <c r="F709" s="170">
        <v>2.835842</v>
      </c>
      <c r="G709" s="183" t="s">
        <v>62</v>
      </c>
      <c r="H709" s="170">
        <v>2.756872</v>
      </c>
    </row>
    <row r="710" spans="1:8" x14ac:dyDescent="0.25">
      <c r="A710" s="147" t="s">
        <v>428</v>
      </c>
      <c r="B710" s="170">
        <v>0.55577200000000004</v>
      </c>
      <c r="C710" s="183" t="s">
        <v>62</v>
      </c>
      <c r="D710" s="170">
        <v>0.47416999999999998</v>
      </c>
      <c r="E710" s="183" t="s">
        <v>62</v>
      </c>
      <c r="F710" s="170">
        <v>0.42418800000000001</v>
      </c>
      <c r="G710" s="183" t="s">
        <v>62</v>
      </c>
      <c r="H710" s="170">
        <v>0.41789199999999999</v>
      </c>
    </row>
    <row r="711" spans="1:8" x14ac:dyDescent="0.25">
      <c r="A711" s="147"/>
      <c r="B711" s="147"/>
      <c r="C711" s="182"/>
      <c r="D711" s="147"/>
      <c r="E711" s="182"/>
      <c r="F711" s="147"/>
      <c r="G711" s="182"/>
      <c r="H711" s="147"/>
    </row>
    <row r="712" spans="1:8" x14ac:dyDescent="0.25">
      <c r="A712" s="154" t="s">
        <v>84</v>
      </c>
      <c r="B712" s="147"/>
      <c r="C712" s="182"/>
      <c r="D712" s="147"/>
      <c r="E712" s="182"/>
      <c r="F712" s="147"/>
      <c r="G712" s="182"/>
      <c r="H712" s="147"/>
    </row>
    <row r="713" spans="1:8" x14ac:dyDescent="0.25">
      <c r="A713" s="147" t="s">
        <v>85</v>
      </c>
      <c r="B713" s="155">
        <v>524.87022200000001</v>
      </c>
      <c r="C713" s="183">
        <v>3.2058049433000002E-2</v>
      </c>
      <c r="D713" s="155">
        <v>943.16630799999996</v>
      </c>
      <c r="E713" s="183">
        <v>5.095214595E-2</v>
      </c>
      <c r="F713" s="155">
        <v>1081.4514959999999</v>
      </c>
      <c r="G713" s="183">
        <v>5.9694053344999998E-2</v>
      </c>
      <c r="H713" s="155">
        <v>537.52334599999995</v>
      </c>
    </row>
    <row r="714" spans="1:8" x14ac:dyDescent="0.25">
      <c r="A714" s="147" t="s">
        <v>86</v>
      </c>
      <c r="B714" s="155">
        <v>919.26340000000005</v>
      </c>
      <c r="C714" s="183">
        <v>5.6146815507E-2</v>
      </c>
      <c r="D714" s="155">
        <v>797.27518999999995</v>
      </c>
      <c r="E714" s="183">
        <v>4.3070751678000001E-2</v>
      </c>
      <c r="F714" s="155" t="s">
        <v>62</v>
      </c>
      <c r="G714" s="183" t="s">
        <v>62</v>
      </c>
      <c r="H714" s="155" t="s">
        <v>62</v>
      </c>
    </row>
    <row r="715" spans="1:8" x14ac:dyDescent="0.25">
      <c r="A715" s="147" t="s">
        <v>87</v>
      </c>
      <c r="B715" s="155">
        <v>919.26340000000005</v>
      </c>
      <c r="C715" s="183">
        <v>5.6146815507E-2</v>
      </c>
      <c r="D715" s="155">
        <v>797.27518999999995</v>
      </c>
      <c r="E715" s="183">
        <v>4.3070751678000001E-2</v>
      </c>
      <c r="F715" s="155" t="s">
        <v>62</v>
      </c>
      <c r="G715" s="183" t="s">
        <v>62</v>
      </c>
      <c r="H715" s="155" t="s">
        <v>62</v>
      </c>
    </row>
    <row r="716" spans="1:8" x14ac:dyDescent="0.25">
      <c r="A716" s="147" t="s">
        <v>88</v>
      </c>
      <c r="B716" s="155">
        <v>607.223118</v>
      </c>
      <c r="C716" s="183">
        <v>3.7088003697000001E-2</v>
      </c>
      <c r="D716" s="155">
        <v>1348.656487</v>
      </c>
      <c r="E716" s="183">
        <v>7.2857715101000003E-2</v>
      </c>
      <c r="F716" s="155" t="s">
        <v>62</v>
      </c>
      <c r="G716" s="183" t="s">
        <v>62</v>
      </c>
      <c r="H716" s="155" t="s">
        <v>62</v>
      </c>
    </row>
    <row r="717" spans="1:8" x14ac:dyDescent="0.25">
      <c r="A717" s="147" t="s">
        <v>429</v>
      </c>
      <c r="B717" s="155">
        <v>607.223118</v>
      </c>
      <c r="C717" s="183">
        <v>3.7088003697000001E-2</v>
      </c>
      <c r="D717" s="155">
        <v>1348.656487</v>
      </c>
      <c r="E717" s="183">
        <v>7.2857715101000003E-2</v>
      </c>
      <c r="F717" s="155" t="s">
        <v>62</v>
      </c>
      <c r="G717" s="183" t="s">
        <v>62</v>
      </c>
      <c r="H717" s="155" t="s">
        <v>62</v>
      </c>
    </row>
    <row r="718" spans="1:8" x14ac:dyDescent="0.25">
      <c r="A718" s="147" t="s">
        <v>89</v>
      </c>
      <c r="B718" s="155">
        <v>3577.8432579999999</v>
      </c>
      <c r="C718" s="183">
        <v>0.21852768784000001</v>
      </c>
      <c r="D718" s="155">
        <v>5235.0296619999999</v>
      </c>
      <c r="E718" s="183">
        <v>0.28280907950799999</v>
      </c>
      <c r="F718" s="155">
        <v>1081.4514959999999</v>
      </c>
      <c r="G718" s="183">
        <v>5.9694053344999998E-2</v>
      </c>
      <c r="H718" s="155">
        <v>537.52334599999995</v>
      </c>
    </row>
    <row r="719" spans="1:8" x14ac:dyDescent="0.25">
      <c r="A719" s="147" t="s">
        <v>90</v>
      </c>
      <c r="B719" s="155">
        <v>11181.416741999999</v>
      </c>
      <c r="C719" s="183">
        <v>0.68293912595100004</v>
      </c>
      <c r="D719" s="155">
        <v>11073.943337999999</v>
      </c>
      <c r="E719" s="183">
        <v>0.59824144735600004</v>
      </c>
      <c r="F719" s="155">
        <v>14311.443504000001</v>
      </c>
      <c r="G719" s="183">
        <v>0.78996429809799995</v>
      </c>
      <c r="H719" s="155">
        <v>13815.552653999999</v>
      </c>
    </row>
    <row r="720" spans="1:8" x14ac:dyDescent="0.25">
      <c r="A720" s="147"/>
      <c r="B720" s="147"/>
      <c r="C720" s="182"/>
      <c r="D720" s="147"/>
      <c r="E720" s="182"/>
      <c r="F720" s="147"/>
      <c r="G720" s="182"/>
      <c r="H720" s="147"/>
    </row>
    <row r="721" spans="1:8" x14ac:dyDescent="0.25">
      <c r="A721" s="147" t="s">
        <v>92</v>
      </c>
      <c r="B721" s="155">
        <v>248.636</v>
      </c>
      <c r="C721" s="183" t="s">
        <v>62</v>
      </c>
      <c r="D721" s="155">
        <v>320.245</v>
      </c>
      <c r="E721" s="183" t="s">
        <v>62</v>
      </c>
      <c r="F721" s="155">
        <v>395.93200000000002</v>
      </c>
      <c r="G721" s="183" t="s">
        <v>62</v>
      </c>
      <c r="H721" s="155">
        <v>433.16699999999997</v>
      </c>
    </row>
    <row r="722" spans="1:8" x14ac:dyDescent="0.25">
      <c r="A722" s="147" t="s">
        <v>93</v>
      </c>
      <c r="B722" s="155">
        <v>246.148</v>
      </c>
      <c r="C722" s="183" t="s">
        <v>62</v>
      </c>
      <c r="D722" s="155">
        <v>312.154</v>
      </c>
      <c r="E722" s="183" t="s">
        <v>62</v>
      </c>
      <c r="F722" s="155">
        <v>378.774</v>
      </c>
      <c r="G722" s="183" t="s">
        <v>62</v>
      </c>
      <c r="H722" s="155">
        <v>406.29300000000001</v>
      </c>
    </row>
    <row r="723" spans="1:8" x14ac:dyDescent="0.25">
      <c r="A723" s="147" t="s">
        <v>94</v>
      </c>
      <c r="B723" s="155">
        <v>226.02</v>
      </c>
      <c r="C723" s="183" t="s">
        <v>62</v>
      </c>
      <c r="D723" s="155">
        <v>300.01400000000001</v>
      </c>
      <c r="E723" s="183" t="s">
        <v>62</v>
      </c>
      <c r="F723" s="155">
        <v>358.44200000000001</v>
      </c>
      <c r="G723" s="183" t="s">
        <v>62</v>
      </c>
      <c r="H723" s="155">
        <v>377.37099999999998</v>
      </c>
    </row>
    <row r="724" spans="1:8" x14ac:dyDescent="0.25">
      <c r="A724" s="147" t="s">
        <v>95</v>
      </c>
      <c r="B724" s="155">
        <v>211.387</v>
      </c>
      <c r="C724" s="183" t="s">
        <v>62</v>
      </c>
      <c r="D724" s="155">
        <v>279.03699999999998</v>
      </c>
      <c r="E724" s="183" t="s">
        <v>62</v>
      </c>
      <c r="F724" s="155">
        <v>340.02800000000002</v>
      </c>
      <c r="G724" s="183" t="s">
        <v>62</v>
      </c>
      <c r="H724" s="155">
        <v>368.49599999999998</v>
      </c>
    </row>
    <row r="725" spans="1:8" x14ac:dyDescent="0.25">
      <c r="A725" s="147" t="s">
        <v>96</v>
      </c>
      <c r="B725" s="155">
        <v>194.506</v>
      </c>
      <c r="C725" s="183" t="s">
        <v>62</v>
      </c>
      <c r="D725" s="155">
        <v>258.34800000000001</v>
      </c>
      <c r="E725" s="183" t="s">
        <v>62</v>
      </c>
      <c r="F725" s="155">
        <v>335.15100000000001</v>
      </c>
      <c r="G725" s="183" t="s">
        <v>62</v>
      </c>
      <c r="H725" s="155">
        <v>310.90300000000002</v>
      </c>
    </row>
    <row r="726" spans="1:8" x14ac:dyDescent="0.25">
      <c r="A726" s="147" t="s">
        <v>97</v>
      </c>
      <c r="B726" s="155">
        <v>1126.6969999999999</v>
      </c>
      <c r="C726" s="183" t="s">
        <v>62</v>
      </c>
      <c r="D726" s="155">
        <v>1469.798</v>
      </c>
      <c r="E726" s="183" t="s">
        <v>62</v>
      </c>
      <c r="F726" s="155">
        <v>1808.327</v>
      </c>
      <c r="G726" s="183" t="s">
        <v>62</v>
      </c>
      <c r="H726" s="155">
        <v>1896.23</v>
      </c>
    </row>
    <row r="727" spans="1:8" x14ac:dyDescent="0.25">
      <c r="A727" s="147" t="s">
        <v>98</v>
      </c>
      <c r="B727" s="155">
        <v>912.45699999999999</v>
      </c>
      <c r="C727" s="183" t="s">
        <v>62</v>
      </c>
      <c r="D727" s="155">
        <v>1100.115</v>
      </c>
      <c r="E727" s="183" t="s">
        <v>62</v>
      </c>
      <c r="F727" s="155">
        <v>1332.662</v>
      </c>
      <c r="G727" s="183" t="s">
        <v>62</v>
      </c>
      <c r="H727" s="155">
        <v>1036.327</v>
      </c>
    </row>
    <row r="728" spans="1:8" x14ac:dyDescent="0.25">
      <c r="A728" s="147"/>
      <c r="B728" s="147"/>
      <c r="C728" s="182"/>
      <c r="D728" s="147"/>
      <c r="E728" s="182"/>
      <c r="F728" s="147"/>
      <c r="G728" s="182"/>
      <c r="H728" s="147"/>
    </row>
    <row r="729" spans="1:8" x14ac:dyDescent="0.25">
      <c r="A729" s="147" t="s">
        <v>99</v>
      </c>
      <c r="B729" s="155">
        <v>9102.0409999999993</v>
      </c>
      <c r="C729" s="183" t="s">
        <v>62</v>
      </c>
      <c r="D729" s="155">
        <v>9543.8379999999997</v>
      </c>
      <c r="E729" s="183" t="s">
        <v>62</v>
      </c>
      <c r="F729" s="155">
        <v>10019.306</v>
      </c>
      <c r="G729" s="183" t="s">
        <v>62</v>
      </c>
      <c r="H729" s="155">
        <v>10038.483</v>
      </c>
    </row>
    <row r="730" spans="1:8" x14ac:dyDescent="0.25">
      <c r="A730" s="147" t="s">
        <v>100</v>
      </c>
      <c r="B730" s="155">
        <v>4292.6115</v>
      </c>
      <c r="C730" s="183" t="s">
        <v>62</v>
      </c>
      <c r="D730" s="155">
        <v>4030.3784999999998</v>
      </c>
      <c r="E730" s="183" t="s">
        <v>62</v>
      </c>
      <c r="F730" s="155" t="s">
        <v>62</v>
      </c>
      <c r="G730" s="183" t="s">
        <v>62</v>
      </c>
      <c r="H730" s="155" t="s">
        <v>62</v>
      </c>
    </row>
    <row r="731" spans="1:8" x14ac:dyDescent="0.25">
      <c r="A731" s="147" t="s">
        <v>101</v>
      </c>
      <c r="B731" s="155">
        <v>4292.6115</v>
      </c>
      <c r="C731" s="183" t="s">
        <v>62</v>
      </c>
      <c r="D731" s="155">
        <v>4030.3784999999998</v>
      </c>
      <c r="E731" s="183" t="s">
        <v>62</v>
      </c>
      <c r="F731" s="155" t="s">
        <v>62</v>
      </c>
      <c r="G731" s="183" t="s">
        <v>62</v>
      </c>
      <c r="H731" s="155" t="s">
        <v>62</v>
      </c>
    </row>
    <row r="732" spans="1:8" x14ac:dyDescent="0.25">
      <c r="A732" s="147" t="s">
        <v>102</v>
      </c>
      <c r="B732" s="155">
        <v>1038.9760000000001</v>
      </c>
      <c r="C732" s="183" t="s">
        <v>62</v>
      </c>
      <c r="D732" s="155">
        <v>989.15499999999997</v>
      </c>
      <c r="E732" s="183" t="s">
        <v>62</v>
      </c>
      <c r="F732" s="155" t="s">
        <v>62</v>
      </c>
      <c r="G732" s="183" t="s">
        <v>62</v>
      </c>
      <c r="H732" s="155" t="s">
        <v>62</v>
      </c>
    </row>
    <row r="733" spans="1:8" x14ac:dyDescent="0.25">
      <c r="A733" s="147" t="s">
        <v>430</v>
      </c>
      <c r="B733" s="155">
        <v>1038.9760000000001</v>
      </c>
      <c r="C733" s="183" t="s">
        <v>62</v>
      </c>
      <c r="D733" s="155">
        <v>989.15499999999997</v>
      </c>
      <c r="E733" s="183" t="s">
        <v>62</v>
      </c>
      <c r="F733" s="155" t="s">
        <v>62</v>
      </c>
      <c r="G733" s="183" t="s">
        <v>62</v>
      </c>
      <c r="H733" s="155" t="s">
        <v>62</v>
      </c>
    </row>
    <row r="734" spans="1:8" x14ac:dyDescent="0.25">
      <c r="A734" s="147" t="s">
        <v>103</v>
      </c>
      <c r="B734" s="155">
        <v>19765.216</v>
      </c>
      <c r="C734" s="183" t="s">
        <v>62</v>
      </c>
      <c r="D734" s="155">
        <v>19582.904999999999</v>
      </c>
      <c r="E734" s="183" t="s">
        <v>62</v>
      </c>
      <c r="F734" s="155">
        <v>10019.306</v>
      </c>
      <c r="G734" s="183" t="s">
        <v>62</v>
      </c>
      <c r="H734" s="155">
        <v>10038.483</v>
      </c>
    </row>
    <row r="735" spans="1:8" x14ac:dyDescent="0.25">
      <c r="A735" s="147" t="s">
        <v>104</v>
      </c>
      <c r="B735" s="155">
        <v>618.97400000000005</v>
      </c>
      <c r="C735" s="183" t="s">
        <v>62</v>
      </c>
      <c r="D735" s="155">
        <v>445.30799999999999</v>
      </c>
      <c r="E735" s="183" t="s">
        <v>62</v>
      </c>
      <c r="F735" s="155">
        <v>13142.054</v>
      </c>
      <c r="G735" s="183" t="s">
        <v>62</v>
      </c>
      <c r="H735" s="155">
        <v>11793.464</v>
      </c>
    </row>
    <row r="736" spans="1:8" x14ac:dyDescent="0.25">
      <c r="A736" s="147" t="s">
        <v>105</v>
      </c>
      <c r="B736" s="155">
        <v>20384.189999999999</v>
      </c>
      <c r="C736" s="183" t="s">
        <v>62</v>
      </c>
      <c r="D736" s="155">
        <v>20028.213</v>
      </c>
      <c r="E736" s="183" t="s">
        <v>62</v>
      </c>
      <c r="F736" s="155">
        <v>23161.360000000001</v>
      </c>
      <c r="G736" s="183" t="s">
        <v>62</v>
      </c>
      <c r="H736" s="155">
        <v>21831.947</v>
      </c>
    </row>
    <row r="737" spans="1:8" x14ac:dyDescent="0.25">
      <c r="A737" s="147"/>
      <c r="B737" s="147"/>
      <c r="C737" s="182"/>
      <c r="D737" s="147"/>
      <c r="E737" s="182"/>
      <c r="F737" s="147"/>
      <c r="G737" s="182"/>
      <c r="H737" s="147"/>
    </row>
    <row r="738" spans="1:8" x14ac:dyDescent="0.25">
      <c r="A738" s="154" t="s">
        <v>106</v>
      </c>
      <c r="B738" s="147"/>
      <c r="C738" s="182"/>
      <c r="D738" s="147"/>
      <c r="E738" s="182"/>
      <c r="F738" s="147"/>
      <c r="G738" s="182"/>
      <c r="H738" s="147"/>
    </row>
    <row r="739" spans="1:8" x14ac:dyDescent="0.25">
      <c r="A739" s="147" t="s">
        <v>108</v>
      </c>
      <c r="B739" s="157">
        <v>44588</v>
      </c>
      <c r="C739" s="183" t="s">
        <v>62</v>
      </c>
      <c r="D739" s="157">
        <v>44588</v>
      </c>
      <c r="E739" s="183" t="s">
        <v>62</v>
      </c>
      <c r="F739" s="157">
        <v>45317</v>
      </c>
      <c r="G739" s="183" t="s">
        <v>62</v>
      </c>
      <c r="H739" s="157">
        <v>45684</v>
      </c>
    </row>
    <row r="743" spans="1:8" x14ac:dyDescent="0.25">
      <c r="A743" s="143" t="s">
        <v>431</v>
      </c>
      <c r="B743" s="144"/>
      <c r="C743" s="144"/>
      <c r="D743" s="144"/>
      <c r="E743" s="144"/>
      <c r="F743" s="144"/>
      <c r="G743" s="144"/>
      <c r="H743" s="144"/>
    </row>
    <row r="744" spans="1:8" x14ac:dyDescent="0.25">
      <c r="A744" s="144"/>
      <c r="B744" s="144"/>
      <c r="C744" s="144"/>
      <c r="D744" s="144"/>
      <c r="E744" s="144"/>
      <c r="F744" s="144"/>
      <c r="G744" s="144"/>
      <c r="H744" s="144"/>
    </row>
    <row r="745" spans="1:8" x14ac:dyDescent="0.25">
      <c r="A745" s="145" t="s">
        <v>432</v>
      </c>
      <c r="B745" s="146" t="s">
        <v>116</v>
      </c>
      <c r="C745" s="144" t="s">
        <v>117</v>
      </c>
      <c r="D745" s="147" t="s">
        <v>113</v>
      </c>
      <c r="E745" s="146" t="s">
        <v>167</v>
      </c>
      <c r="F745" s="144" t="s">
        <v>433</v>
      </c>
      <c r="G745" s="144"/>
      <c r="H745" s="144"/>
    </row>
    <row r="746" spans="1:8" x14ac:dyDescent="0.25">
      <c r="A746" s="147"/>
      <c r="B746" s="146" t="s">
        <v>120</v>
      </c>
      <c r="C746" s="144" t="s">
        <v>121</v>
      </c>
      <c r="D746" s="147" t="s">
        <v>113</v>
      </c>
      <c r="E746" s="146" t="s">
        <v>122</v>
      </c>
      <c r="F746" s="144" t="s">
        <v>123</v>
      </c>
      <c r="G746" s="144"/>
      <c r="H746" s="144"/>
    </row>
    <row r="747" spans="1:8" x14ac:dyDescent="0.25">
      <c r="A747" s="147"/>
      <c r="B747" s="146" t="s">
        <v>124</v>
      </c>
      <c r="C747" s="144" t="s">
        <v>125</v>
      </c>
      <c r="D747" s="147" t="s">
        <v>113</v>
      </c>
      <c r="E747" s="146" t="s">
        <v>126</v>
      </c>
      <c r="F747" s="148" t="s">
        <v>127</v>
      </c>
      <c r="G747" s="144"/>
      <c r="H747" s="144"/>
    </row>
    <row r="748" spans="1:8" x14ac:dyDescent="0.25">
      <c r="A748" s="144"/>
      <c r="B748" s="144"/>
      <c r="C748" s="144"/>
      <c r="D748" s="144"/>
      <c r="E748" s="144"/>
      <c r="F748" s="144"/>
      <c r="G748" s="144"/>
      <c r="H748" s="144"/>
    </row>
    <row r="749" spans="1:8" x14ac:dyDescent="0.25">
      <c r="A749" s="144"/>
      <c r="B749" s="144"/>
      <c r="C749" s="144"/>
      <c r="D749" s="144"/>
      <c r="E749" s="144"/>
      <c r="F749" s="144"/>
      <c r="G749" s="144"/>
      <c r="H749" s="144"/>
    </row>
    <row r="750" spans="1:8" x14ac:dyDescent="0.25">
      <c r="A750" s="149" t="s">
        <v>434</v>
      </c>
      <c r="B750" s="149"/>
      <c r="C750" s="149"/>
      <c r="D750" s="149"/>
      <c r="E750" s="149"/>
      <c r="F750" s="149"/>
      <c r="G750" s="149"/>
      <c r="H750" s="149"/>
    </row>
    <row r="751" spans="1:8" ht="31.5" x14ac:dyDescent="0.25">
      <c r="A751" s="186" t="s">
        <v>435</v>
      </c>
      <c r="B751" s="186" t="s">
        <v>436</v>
      </c>
      <c r="C751" s="150" t="s">
        <v>437</v>
      </c>
      <c r="D751" s="150" t="s">
        <v>438</v>
      </c>
      <c r="E751" s="150" t="s">
        <v>439</v>
      </c>
      <c r="F751" s="150" t="s">
        <v>440</v>
      </c>
      <c r="G751" s="150" t="s">
        <v>441</v>
      </c>
      <c r="H751" s="150" t="s">
        <v>442</v>
      </c>
    </row>
    <row r="752" spans="1:8" x14ac:dyDescent="0.25">
      <c r="A752" s="182" t="s">
        <v>443</v>
      </c>
      <c r="B752" s="182" t="s">
        <v>444</v>
      </c>
      <c r="C752" s="187">
        <v>487</v>
      </c>
      <c r="D752" s="188" t="s">
        <v>445</v>
      </c>
      <c r="E752" s="188" t="s">
        <v>209</v>
      </c>
      <c r="F752" s="189">
        <v>45823</v>
      </c>
      <c r="G752" s="188" t="s">
        <v>446</v>
      </c>
      <c r="H752" s="188" t="s">
        <v>447</v>
      </c>
    </row>
    <row r="753" spans="1:8" x14ac:dyDescent="0.25">
      <c r="A753" s="182" t="s">
        <v>448</v>
      </c>
      <c r="B753" s="182" t="s">
        <v>444</v>
      </c>
      <c r="C753" s="187">
        <v>500</v>
      </c>
      <c r="D753" s="188" t="s">
        <v>449</v>
      </c>
      <c r="E753" s="188" t="s">
        <v>209</v>
      </c>
      <c r="F753" s="189">
        <v>45823</v>
      </c>
      <c r="G753" s="188" t="s">
        <v>446</v>
      </c>
      <c r="H753" s="188" t="s">
        <v>447</v>
      </c>
    </row>
    <row r="754" spans="1:8" x14ac:dyDescent="0.25">
      <c r="A754" s="182" t="s">
        <v>448</v>
      </c>
      <c r="B754" s="182" t="s">
        <v>444</v>
      </c>
      <c r="C754" s="187">
        <v>1346</v>
      </c>
      <c r="D754" s="188" t="s">
        <v>449</v>
      </c>
      <c r="E754" s="188" t="s">
        <v>209</v>
      </c>
      <c r="F754" s="189">
        <v>46522</v>
      </c>
      <c r="G754" s="188" t="s">
        <v>446</v>
      </c>
      <c r="H754" s="188" t="s">
        <v>447</v>
      </c>
    </row>
    <row r="755" spans="1:8" x14ac:dyDescent="0.25">
      <c r="A755" s="182" t="s">
        <v>448</v>
      </c>
      <c r="B755" s="182" t="s">
        <v>444</v>
      </c>
      <c r="C755" s="187">
        <v>1139</v>
      </c>
      <c r="D755" s="188" t="s">
        <v>449</v>
      </c>
      <c r="E755" s="188" t="s">
        <v>209</v>
      </c>
      <c r="F755" s="189">
        <v>47649</v>
      </c>
      <c r="G755" s="188" t="s">
        <v>446</v>
      </c>
      <c r="H755" s="188" t="s">
        <v>447</v>
      </c>
    </row>
    <row r="756" spans="1:8" x14ac:dyDescent="0.25">
      <c r="A756" s="182" t="s">
        <v>450</v>
      </c>
      <c r="B756" s="182" t="s">
        <v>444</v>
      </c>
      <c r="C756" s="187">
        <v>1242</v>
      </c>
      <c r="D756" s="188" t="s">
        <v>451</v>
      </c>
      <c r="E756" s="188" t="s">
        <v>209</v>
      </c>
      <c r="F756" s="189">
        <v>47437</v>
      </c>
      <c r="G756" s="188" t="s">
        <v>446</v>
      </c>
      <c r="H756" s="188" t="s">
        <v>447</v>
      </c>
    </row>
    <row r="757" spans="1:8" x14ac:dyDescent="0.25">
      <c r="A757" s="182" t="s">
        <v>452</v>
      </c>
      <c r="B757" s="182" t="s">
        <v>444</v>
      </c>
      <c r="C757" s="187">
        <v>1000</v>
      </c>
      <c r="D757" s="188" t="s">
        <v>453</v>
      </c>
      <c r="E757" s="188" t="s">
        <v>209</v>
      </c>
      <c r="F757" s="189">
        <v>46341</v>
      </c>
      <c r="G757" s="188" t="s">
        <v>446</v>
      </c>
      <c r="H757" s="188" t="s">
        <v>447</v>
      </c>
    </row>
    <row r="758" spans="1:8" x14ac:dyDescent="0.25">
      <c r="A758" s="182" t="s">
        <v>454</v>
      </c>
      <c r="B758" s="182" t="s">
        <v>444</v>
      </c>
      <c r="C758" s="187">
        <v>1139</v>
      </c>
      <c r="D758" s="188" t="s">
        <v>455</v>
      </c>
      <c r="E758" s="188" t="s">
        <v>209</v>
      </c>
      <c r="F758" s="189">
        <v>47253</v>
      </c>
      <c r="G758" s="188" t="s">
        <v>446</v>
      </c>
      <c r="H758" s="188" t="s">
        <v>447</v>
      </c>
    </row>
    <row r="759" spans="1:8" x14ac:dyDescent="0.25">
      <c r="A759" s="182" t="s">
        <v>456</v>
      </c>
      <c r="B759" s="182" t="s">
        <v>444</v>
      </c>
      <c r="C759" s="187"/>
      <c r="D759" s="188" t="s">
        <v>457</v>
      </c>
      <c r="E759" s="188" t="s">
        <v>209</v>
      </c>
      <c r="F759" s="189">
        <v>46858</v>
      </c>
      <c r="G759" s="188" t="s">
        <v>446</v>
      </c>
      <c r="H759" s="188" t="s">
        <v>447</v>
      </c>
    </row>
    <row r="760" spans="1:8" x14ac:dyDescent="0.25">
      <c r="A760" s="182" t="s">
        <v>456</v>
      </c>
      <c r="B760" s="182" t="s">
        <v>444</v>
      </c>
      <c r="C760" s="187">
        <v>1000</v>
      </c>
      <c r="D760" s="188" t="s">
        <v>457</v>
      </c>
      <c r="E760" s="188" t="s">
        <v>209</v>
      </c>
      <c r="F760" s="189">
        <v>47649</v>
      </c>
      <c r="G760" s="188" t="s">
        <v>446</v>
      </c>
      <c r="H760" s="188" t="s">
        <v>447</v>
      </c>
    </row>
    <row r="761" spans="1:8" x14ac:dyDescent="0.25">
      <c r="A761" s="182" t="s">
        <v>458</v>
      </c>
      <c r="B761" s="182" t="s">
        <v>444</v>
      </c>
      <c r="C761" s="187">
        <v>1000</v>
      </c>
      <c r="D761" s="188" t="s">
        <v>459</v>
      </c>
      <c r="E761" s="188" t="s">
        <v>209</v>
      </c>
      <c r="F761" s="189">
        <v>49171</v>
      </c>
      <c r="G761" s="188" t="s">
        <v>446</v>
      </c>
      <c r="H761" s="188" t="s">
        <v>447</v>
      </c>
    </row>
    <row r="762" spans="1:8" x14ac:dyDescent="0.25">
      <c r="A762" s="182" t="s">
        <v>460</v>
      </c>
      <c r="B762" s="182" t="s">
        <v>444</v>
      </c>
      <c r="C762" s="187">
        <v>900</v>
      </c>
      <c r="D762" s="188" t="s">
        <v>461</v>
      </c>
      <c r="E762" s="188" t="s">
        <v>209</v>
      </c>
      <c r="F762" s="189">
        <v>47437</v>
      </c>
      <c r="G762" s="188" t="s">
        <v>446</v>
      </c>
      <c r="H762" s="188" t="s">
        <v>447</v>
      </c>
    </row>
    <row r="763" spans="1:8" x14ac:dyDescent="0.25">
      <c r="A763" s="182" t="s">
        <v>462</v>
      </c>
      <c r="B763" s="182" t="s">
        <v>444</v>
      </c>
      <c r="C763" s="187">
        <v>800</v>
      </c>
      <c r="D763" s="188" t="s">
        <v>463</v>
      </c>
      <c r="E763" s="188" t="s">
        <v>209</v>
      </c>
      <c r="F763" s="189">
        <v>56476</v>
      </c>
      <c r="G763" s="188" t="s">
        <v>446</v>
      </c>
      <c r="H763" s="188" t="s">
        <v>447</v>
      </c>
    </row>
    <row r="764" spans="1:8" x14ac:dyDescent="0.25">
      <c r="A764" s="182" t="s">
        <v>464</v>
      </c>
      <c r="B764" s="182" t="s">
        <v>444</v>
      </c>
      <c r="C764" s="188" t="s">
        <v>62</v>
      </c>
      <c r="D764" s="188" t="s">
        <v>465</v>
      </c>
      <c r="E764" s="188" t="s">
        <v>209</v>
      </c>
      <c r="F764" s="189">
        <v>45352</v>
      </c>
      <c r="G764" s="188" t="s">
        <v>446</v>
      </c>
      <c r="H764" s="188" t="s">
        <v>447</v>
      </c>
    </row>
    <row r="765" spans="1:8" x14ac:dyDescent="0.25">
      <c r="A765" s="182" t="s">
        <v>466</v>
      </c>
      <c r="B765" s="182" t="s">
        <v>444</v>
      </c>
      <c r="C765" s="187">
        <v>800</v>
      </c>
      <c r="D765" s="188" t="s">
        <v>467</v>
      </c>
      <c r="E765" s="188" t="s">
        <v>209</v>
      </c>
      <c r="F765" s="189">
        <v>45703</v>
      </c>
      <c r="G765" s="188" t="s">
        <v>446</v>
      </c>
      <c r="H765" s="188" t="s">
        <v>447</v>
      </c>
    </row>
    <row r="766" spans="1:8" x14ac:dyDescent="0.25">
      <c r="A766" s="182" t="s">
        <v>466</v>
      </c>
      <c r="B766" s="182" t="s">
        <v>444</v>
      </c>
      <c r="C766" s="187">
        <v>1900</v>
      </c>
      <c r="D766" s="188" t="s">
        <v>467</v>
      </c>
      <c r="E766" s="188" t="s">
        <v>209</v>
      </c>
      <c r="F766" s="189">
        <v>47072</v>
      </c>
      <c r="G766" s="188" t="s">
        <v>446</v>
      </c>
      <c r="H766" s="188" t="s">
        <v>447</v>
      </c>
    </row>
    <row r="767" spans="1:8" x14ac:dyDescent="0.25">
      <c r="A767" s="182" t="s">
        <v>468</v>
      </c>
      <c r="B767" s="182" t="s">
        <v>444</v>
      </c>
      <c r="C767" s="187">
        <v>800</v>
      </c>
      <c r="D767" s="188" t="s">
        <v>469</v>
      </c>
      <c r="E767" s="188" t="s">
        <v>209</v>
      </c>
      <c r="F767" s="189">
        <v>47253</v>
      </c>
      <c r="G767" s="188" t="s">
        <v>446</v>
      </c>
      <c r="H767" s="188" t="s">
        <v>447</v>
      </c>
    </row>
    <row r="768" spans="1:8" x14ac:dyDescent="0.25">
      <c r="A768" s="182" t="s">
        <v>470</v>
      </c>
      <c r="B768" s="182" t="s">
        <v>471</v>
      </c>
      <c r="C768" s="187">
        <v>2412.1999999999998</v>
      </c>
      <c r="D768" s="188" t="s">
        <v>472</v>
      </c>
      <c r="E768" s="188" t="s">
        <v>209</v>
      </c>
      <c r="F768" s="188" t="s">
        <v>62</v>
      </c>
      <c r="G768" s="188" t="s">
        <v>446</v>
      </c>
      <c r="H768" s="188" t="s">
        <v>473</v>
      </c>
    </row>
    <row r="769" spans="1:8" x14ac:dyDescent="0.25">
      <c r="A769" s="182" t="s">
        <v>474</v>
      </c>
      <c r="B769" s="182" t="s">
        <v>475</v>
      </c>
      <c r="C769" s="188" t="s">
        <v>62</v>
      </c>
      <c r="D769" s="188" t="s">
        <v>209</v>
      </c>
      <c r="E769" s="188" t="s">
        <v>476</v>
      </c>
      <c r="F769" s="189">
        <v>47220</v>
      </c>
      <c r="G769" s="188" t="s">
        <v>446</v>
      </c>
      <c r="H769" s="188" t="s">
        <v>447</v>
      </c>
    </row>
    <row r="770" spans="1:8" x14ac:dyDescent="0.25">
      <c r="A770" s="190"/>
      <c r="B770" s="190"/>
      <c r="C770" s="190"/>
      <c r="D770" s="190"/>
      <c r="E770" s="190"/>
      <c r="F770" s="190"/>
      <c r="G770" s="190"/>
      <c r="H770" s="190"/>
    </row>
    <row r="771" spans="1:8" x14ac:dyDescent="0.25">
      <c r="A771" s="144"/>
      <c r="B771" s="144"/>
      <c r="C771" s="144"/>
      <c r="D771" s="144"/>
      <c r="E771" s="144"/>
      <c r="F771" s="144"/>
      <c r="G771" s="144"/>
      <c r="H771" s="144"/>
    </row>
    <row r="772" spans="1:8" x14ac:dyDescent="0.25">
      <c r="A772" s="144"/>
      <c r="B772" s="144"/>
      <c r="C772" s="144"/>
      <c r="D772" s="144"/>
      <c r="E772" s="144"/>
      <c r="F772" s="144"/>
      <c r="G772" s="144"/>
      <c r="H772" s="144"/>
    </row>
    <row r="773" spans="1:8" x14ac:dyDescent="0.25">
      <c r="A773" s="144"/>
      <c r="B773" s="144"/>
      <c r="C773" s="144"/>
      <c r="D773" s="144"/>
      <c r="E773" s="144"/>
      <c r="F773" s="144"/>
      <c r="G773" s="144"/>
      <c r="H773" s="144"/>
    </row>
    <row r="774" spans="1:8" x14ac:dyDescent="0.25">
      <c r="A774" s="149" t="s">
        <v>477</v>
      </c>
      <c r="B774" s="149"/>
      <c r="C774" s="149"/>
      <c r="D774" s="149"/>
      <c r="E774" s="149"/>
      <c r="F774" s="149"/>
      <c r="G774" s="149"/>
      <c r="H774" s="149"/>
    </row>
    <row r="775" spans="1:8" ht="31.5" x14ac:dyDescent="0.25">
      <c r="A775" s="186" t="s">
        <v>435</v>
      </c>
      <c r="B775" s="186" t="s">
        <v>436</v>
      </c>
      <c r="C775" s="150" t="s">
        <v>437</v>
      </c>
      <c r="D775" s="150" t="s">
        <v>438</v>
      </c>
      <c r="E775" s="150" t="s">
        <v>439</v>
      </c>
      <c r="F775" s="150" t="s">
        <v>440</v>
      </c>
      <c r="G775" s="150" t="s">
        <v>441</v>
      </c>
      <c r="H775" s="150" t="s">
        <v>442</v>
      </c>
    </row>
    <row r="776" spans="1:8" x14ac:dyDescent="0.25">
      <c r="A776" s="182" t="s">
        <v>443</v>
      </c>
      <c r="B776" s="182" t="s">
        <v>444</v>
      </c>
      <c r="C776" s="187">
        <v>519</v>
      </c>
      <c r="D776" s="188" t="s">
        <v>445</v>
      </c>
      <c r="E776" s="188" t="s">
        <v>209</v>
      </c>
      <c r="F776" s="189">
        <v>45823</v>
      </c>
      <c r="G776" s="188" t="s">
        <v>446</v>
      </c>
      <c r="H776" s="188" t="s">
        <v>447</v>
      </c>
    </row>
    <row r="777" spans="1:8" x14ac:dyDescent="0.25">
      <c r="A777" s="182" t="s">
        <v>448</v>
      </c>
      <c r="B777" s="182" t="s">
        <v>444</v>
      </c>
      <c r="C777" s="187">
        <v>500</v>
      </c>
      <c r="D777" s="188" t="s">
        <v>449</v>
      </c>
      <c r="E777" s="188" t="s">
        <v>209</v>
      </c>
      <c r="F777" s="189">
        <v>45823</v>
      </c>
      <c r="G777" s="188" t="s">
        <v>446</v>
      </c>
      <c r="H777" s="188" t="s">
        <v>447</v>
      </c>
    </row>
    <row r="778" spans="1:8" x14ac:dyDescent="0.25">
      <c r="A778" s="182" t="s">
        <v>448</v>
      </c>
      <c r="B778" s="182" t="s">
        <v>444</v>
      </c>
      <c r="C778" s="187">
        <v>1434</v>
      </c>
      <c r="D778" s="188" t="s">
        <v>449</v>
      </c>
      <c r="E778" s="188" t="s">
        <v>209</v>
      </c>
      <c r="F778" s="189">
        <v>46522</v>
      </c>
      <c r="G778" s="188" t="s">
        <v>446</v>
      </c>
      <c r="H778" s="188" t="s">
        <v>447</v>
      </c>
    </row>
    <row r="779" spans="1:8" x14ac:dyDescent="0.25">
      <c r="A779" s="182" t="s">
        <v>448</v>
      </c>
      <c r="B779" s="182" t="s">
        <v>444</v>
      </c>
      <c r="C779" s="187">
        <v>1215</v>
      </c>
      <c r="D779" s="188" t="s">
        <v>449</v>
      </c>
      <c r="E779" s="188" t="s">
        <v>209</v>
      </c>
      <c r="F779" s="189">
        <v>47649</v>
      </c>
      <c r="G779" s="188" t="s">
        <v>446</v>
      </c>
      <c r="H779" s="188" t="s">
        <v>447</v>
      </c>
    </row>
    <row r="780" spans="1:8" x14ac:dyDescent="0.25">
      <c r="A780" s="182" t="s">
        <v>450</v>
      </c>
      <c r="B780" s="182" t="s">
        <v>444</v>
      </c>
      <c r="C780" s="187">
        <v>1325</v>
      </c>
      <c r="D780" s="188" t="s">
        <v>451</v>
      </c>
      <c r="E780" s="188" t="s">
        <v>209</v>
      </c>
      <c r="F780" s="189">
        <v>47437</v>
      </c>
      <c r="G780" s="188" t="s">
        <v>446</v>
      </c>
      <c r="H780" s="188" t="s">
        <v>447</v>
      </c>
    </row>
    <row r="781" spans="1:8" x14ac:dyDescent="0.25">
      <c r="A781" s="182" t="s">
        <v>452</v>
      </c>
      <c r="B781" s="182" t="s">
        <v>444</v>
      </c>
      <c r="C781" s="187">
        <v>1000</v>
      </c>
      <c r="D781" s="188" t="s">
        <v>453</v>
      </c>
      <c r="E781" s="188" t="s">
        <v>209</v>
      </c>
      <c r="F781" s="189">
        <v>46341</v>
      </c>
      <c r="G781" s="188" t="s">
        <v>446</v>
      </c>
      <c r="H781" s="188" t="s">
        <v>447</v>
      </c>
    </row>
    <row r="782" spans="1:8" x14ac:dyDescent="0.25">
      <c r="A782" s="182" t="s">
        <v>454</v>
      </c>
      <c r="B782" s="182" t="s">
        <v>444</v>
      </c>
      <c r="C782" s="187">
        <v>1215</v>
      </c>
      <c r="D782" s="188" t="s">
        <v>455</v>
      </c>
      <c r="E782" s="188" t="s">
        <v>209</v>
      </c>
      <c r="F782" s="189">
        <v>47253</v>
      </c>
      <c r="G782" s="188" t="s">
        <v>446</v>
      </c>
      <c r="H782" s="188" t="s">
        <v>447</v>
      </c>
    </row>
    <row r="783" spans="1:8" x14ac:dyDescent="0.25">
      <c r="A783" s="182" t="s">
        <v>456</v>
      </c>
      <c r="B783" s="182" t="s">
        <v>444</v>
      </c>
      <c r="C783" s="187">
        <v>1600</v>
      </c>
      <c r="D783" s="188" t="s">
        <v>457</v>
      </c>
      <c r="E783" s="188" t="s">
        <v>209</v>
      </c>
      <c r="F783" s="189">
        <v>46858</v>
      </c>
      <c r="G783" s="188" t="s">
        <v>446</v>
      </c>
      <c r="H783" s="188" t="s">
        <v>447</v>
      </c>
    </row>
    <row r="784" spans="1:8" x14ac:dyDescent="0.25">
      <c r="A784" s="182" t="s">
        <v>456</v>
      </c>
      <c r="B784" s="182" t="s">
        <v>444</v>
      </c>
      <c r="C784" s="187">
        <v>1000</v>
      </c>
      <c r="D784" s="188" t="s">
        <v>457</v>
      </c>
      <c r="E784" s="188" t="s">
        <v>209</v>
      </c>
      <c r="F784" s="189">
        <v>47649</v>
      </c>
      <c r="G784" s="188" t="s">
        <v>446</v>
      </c>
      <c r="H784" s="188" t="s">
        <v>447</v>
      </c>
    </row>
    <row r="785" spans="1:8" x14ac:dyDescent="0.25">
      <c r="A785" s="182" t="s">
        <v>460</v>
      </c>
      <c r="B785" s="182" t="s">
        <v>444</v>
      </c>
      <c r="C785" s="187">
        <v>900</v>
      </c>
      <c r="D785" s="188" t="s">
        <v>461</v>
      </c>
      <c r="E785" s="188" t="s">
        <v>209</v>
      </c>
      <c r="F785" s="189">
        <v>47437</v>
      </c>
      <c r="G785" s="188" t="s">
        <v>446</v>
      </c>
      <c r="H785" s="188" t="s">
        <v>447</v>
      </c>
    </row>
    <row r="786" spans="1:8" x14ac:dyDescent="0.25">
      <c r="A786" s="182" t="s">
        <v>464</v>
      </c>
      <c r="B786" s="182" t="s">
        <v>444</v>
      </c>
      <c r="C786" s="187">
        <v>400</v>
      </c>
      <c r="D786" s="188" t="s">
        <v>465</v>
      </c>
      <c r="E786" s="188" t="s">
        <v>209</v>
      </c>
      <c r="F786" s="189">
        <v>45352</v>
      </c>
      <c r="G786" s="188" t="s">
        <v>446</v>
      </c>
      <c r="H786" s="188" t="s">
        <v>447</v>
      </c>
    </row>
    <row r="787" spans="1:8" x14ac:dyDescent="0.25">
      <c r="A787" s="182" t="s">
        <v>466</v>
      </c>
      <c r="B787" s="182" t="s">
        <v>444</v>
      </c>
      <c r="C787" s="187">
        <v>800</v>
      </c>
      <c r="D787" s="188" t="s">
        <v>467</v>
      </c>
      <c r="E787" s="188" t="s">
        <v>209</v>
      </c>
      <c r="F787" s="189">
        <v>45703</v>
      </c>
      <c r="G787" s="188" t="s">
        <v>446</v>
      </c>
      <c r="H787" s="188" t="s">
        <v>447</v>
      </c>
    </row>
    <row r="788" spans="1:8" x14ac:dyDescent="0.25">
      <c r="A788" s="182" t="s">
        <v>466</v>
      </c>
      <c r="B788" s="182" t="s">
        <v>444</v>
      </c>
      <c r="C788" s="187">
        <v>1900</v>
      </c>
      <c r="D788" s="188" t="s">
        <v>467</v>
      </c>
      <c r="E788" s="188" t="s">
        <v>209</v>
      </c>
      <c r="F788" s="189">
        <v>47072</v>
      </c>
      <c r="G788" s="188" t="s">
        <v>446</v>
      </c>
      <c r="H788" s="188" t="s">
        <v>447</v>
      </c>
    </row>
    <row r="789" spans="1:8" x14ac:dyDescent="0.25">
      <c r="A789" s="182" t="s">
        <v>468</v>
      </c>
      <c r="B789" s="182" t="s">
        <v>444</v>
      </c>
      <c r="C789" s="187">
        <v>800</v>
      </c>
      <c r="D789" s="188" t="s">
        <v>469</v>
      </c>
      <c r="E789" s="188" t="s">
        <v>209</v>
      </c>
      <c r="F789" s="189">
        <v>47253</v>
      </c>
      <c r="G789" s="188" t="s">
        <v>446</v>
      </c>
      <c r="H789" s="188" t="s">
        <v>447</v>
      </c>
    </row>
    <row r="790" spans="1:8" x14ac:dyDescent="0.25">
      <c r="A790" s="182" t="s">
        <v>470</v>
      </c>
      <c r="B790" s="182" t="s">
        <v>471</v>
      </c>
      <c r="C790" s="187">
        <v>2430.1</v>
      </c>
      <c r="D790" s="188" t="s">
        <v>472</v>
      </c>
      <c r="E790" s="188" t="s">
        <v>209</v>
      </c>
      <c r="F790" s="188" t="s">
        <v>62</v>
      </c>
      <c r="G790" s="188" t="s">
        <v>446</v>
      </c>
      <c r="H790" s="188" t="s">
        <v>473</v>
      </c>
    </row>
    <row r="791" spans="1:8" x14ac:dyDescent="0.25">
      <c r="A791" s="182" t="s">
        <v>474</v>
      </c>
      <c r="B791" s="182" t="s">
        <v>475</v>
      </c>
      <c r="C791" s="188" t="s">
        <v>62</v>
      </c>
      <c r="D791" s="188" t="s">
        <v>209</v>
      </c>
      <c r="E791" s="188" t="s">
        <v>476</v>
      </c>
      <c r="F791" s="189">
        <v>45394</v>
      </c>
      <c r="G791" s="188" t="s">
        <v>446</v>
      </c>
      <c r="H791" s="188" t="s">
        <v>447</v>
      </c>
    </row>
    <row r="792" spans="1:8" x14ac:dyDescent="0.25">
      <c r="A792" s="182"/>
      <c r="B792" s="182"/>
      <c r="C792" s="188"/>
      <c r="D792" s="188"/>
      <c r="E792" s="188"/>
      <c r="F792" s="189"/>
      <c r="G792" s="188"/>
      <c r="H792" s="188"/>
    </row>
    <row r="795" spans="1:8" x14ac:dyDescent="0.25">
      <c r="A795" s="143" t="s">
        <v>478</v>
      </c>
      <c r="B795" s="144"/>
      <c r="C795" s="144"/>
      <c r="D795" s="144"/>
      <c r="E795" s="144"/>
      <c r="F795" s="144"/>
      <c r="G795" s="144"/>
      <c r="H795" s="144"/>
    </row>
    <row r="796" spans="1:8" x14ac:dyDescent="0.25">
      <c r="A796" s="144"/>
      <c r="B796" s="144"/>
      <c r="C796" s="144"/>
      <c r="D796" s="144"/>
      <c r="E796" s="144"/>
      <c r="F796" s="144"/>
      <c r="G796" s="144"/>
      <c r="H796" s="144"/>
    </row>
    <row r="797" spans="1:8" x14ac:dyDescent="0.25">
      <c r="A797" s="147"/>
      <c r="B797" s="146" t="s">
        <v>114</v>
      </c>
      <c r="C797" s="144" t="s">
        <v>115</v>
      </c>
      <c r="D797" s="147" t="s">
        <v>113</v>
      </c>
      <c r="E797" s="146" t="s">
        <v>116</v>
      </c>
      <c r="F797" s="144" t="s">
        <v>117</v>
      </c>
      <c r="G797" s="144"/>
      <c r="H797" s="144"/>
    </row>
    <row r="798" spans="1:8" x14ac:dyDescent="0.25">
      <c r="A798" s="147"/>
      <c r="B798" s="146" t="s">
        <v>118</v>
      </c>
      <c r="C798" s="144" t="s">
        <v>119</v>
      </c>
      <c r="D798" s="147" t="s">
        <v>113</v>
      </c>
      <c r="E798" s="146" t="s">
        <v>126</v>
      </c>
      <c r="F798" s="148" t="s">
        <v>127</v>
      </c>
      <c r="G798" s="144"/>
      <c r="H798" s="144"/>
    </row>
    <row r="799" spans="1:8" x14ac:dyDescent="0.25">
      <c r="A799" s="147"/>
      <c r="B799" s="146" t="s">
        <v>167</v>
      </c>
      <c r="C799" s="144" t="s">
        <v>168</v>
      </c>
      <c r="D799" s="147" t="s">
        <v>113</v>
      </c>
      <c r="E799" s="158"/>
      <c r="F799" s="158"/>
      <c r="G799" s="144"/>
      <c r="H799" s="144"/>
    </row>
    <row r="800" spans="1:8" x14ac:dyDescent="0.25">
      <c r="A800" s="144"/>
      <c r="B800" s="144"/>
      <c r="C800" s="144"/>
      <c r="D800" s="144"/>
      <c r="E800" s="144"/>
      <c r="F800" s="144"/>
      <c r="G800" s="144"/>
      <c r="H800" s="144"/>
    </row>
    <row r="801" spans="1:8" x14ac:dyDescent="0.25">
      <c r="A801" s="144"/>
      <c r="B801" s="144"/>
      <c r="C801" s="144"/>
      <c r="D801" s="144"/>
      <c r="E801" s="144"/>
      <c r="F801" s="144"/>
      <c r="G801" s="144"/>
      <c r="H801" s="144"/>
    </row>
    <row r="802" spans="1:8" x14ac:dyDescent="0.25">
      <c r="A802" s="149" t="s">
        <v>479</v>
      </c>
      <c r="B802" s="149"/>
      <c r="C802" s="149"/>
      <c r="D802" s="149"/>
      <c r="E802" s="149"/>
      <c r="F802" s="149"/>
      <c r="G802" s="149"/>
      <c r="H802" s="149"/>
    </row>
    <row r="803" spans="1:8" ht="47.25" x14ac:dyDescent="0.25">
      <c r="A803" s="150" t="s">
        <v>129</v>
      </c>
      <c r="B803" s="151" t="s">
        <v>130</v>
      </c>
      <c r="C803" s="151" t="s">
        <v>131</v>
      </c>
      <c r="D803" s="151" t="s">
        <v>132</v>
      </c>
      <c r="E803" s="151" t="s">
        <v>133</v>
      </c>
      <c r="F803" s="151" t="s">
        <v>134</v>
      </c>
      <c r="G803" s="151" t="s">
        <v>135</v>
      </c>
      <c r="H803" s="151" t="s">
        <v>170</v>
      </c>
    </row>
    <row r="804" spans="1:8" x14ac:dyDescent="0.25">
      <c r="A804" s="154" t="s">
        <v>480</v>
      </c>
      <c r="B804" s="147"/>
      <c r="C804" s="147"/>
      <c r="D804" s="147"/>
      <c r="E804" s="147"/>
      <c r="F804" s="147"/>
      <c r="G804" s="147"/>
      <c r="H804" s="147"/>
    </row>
    <row r="805" spans="1:8" x14ac:dyDescent="0.25">
      <c r="A805" s="147" t="s">
        <v>481</v>
      </c>
      <c r="B805" s="166">
        <v>5.4300000000000001E-2</v>
      </c>
      <c r="C805" s="166">
        <v>7.8240000000000004E-2</v>
      </c>
      <c r="D805" s="166">
        <v>9.2327999999999993E-2</v>
      </c>
      <c r="E805" s="166">
        <v>7.5564000000000006E-2</v>
      </c>
      <c r="F805" s="166">
        <v>8.9312000000000002E-2</v>
      </c>
      <c r="G805" s="166">
        <v>0.12721399999999999</v>
      </c>
      <c r="H805" s="166">
        <v>0.147396</v>
      </c>
    </row>
    <row r="806" spans="1:8" x14ac:dyDescent="0.25">
      <c r="A806" s="147" t="s">
        <v>482</v>
      </c>
      <c r="B806" s="166">
        <v>8.2300999999999999E-2</v>
      </c>
      <c r="C806" s="166">
        <v>0.107071</v>
      </c>
      <c r="D806" s="166">
        <v>0.12185799999999999</v>
      </c>
      <c r="E806" s="166">
        <v>9.8235000000000003E-2</v>
      </c>
      <c r="F806" s="166">
        <v>0.115483</v>
      </c>
      <c r="G806" s="166">
        <v>0.162166</v>
      </c>
      <c r="H806" s="166">
        <v>0.18753900000000001</v>
      </c>
    </row>
    <row r="807" spans="1:8" x14ac:dyDescent="0.25">
      <c r="A807" s="147" t="s">
        <v>483</v>
      </c>
      <c r="B807" s="166">
        <v>0.29122900000000002</v>
      </c>
      <c r="C807" s="166">
        <v>0.29616900000000002</v>
      </c>
      <c r="D807" s="166">
        <v>0.38018299999999999</v>
      </c>
      <c r="E807" s="166">
        <v>0.245281</v>
      </c>
      <c r="F807" s="166">
        <v>0.26147199999999998</v>
      </c>
      <c r="G807" s="166">
        <v>0.38434800000000002</v>
      </c>
      <c r="H807" s="166">
        <v>0.42861100000000002</v>
      </c>
    </row>
    <row r="808" spans="1:8" x14ac:dyDescent="0.25">
      <c r="A808" s="147" t="s">
        <v>484</v>
      </c>
      <c r="B808" s="166">
        <v>0.29122900000000002</v>
      </c>
      <c r="C808" s="166">
        <v>0.29616900000000002</v>
      </c>
      <c r="D808" s="166">
        <v>0.38018299999999999</v>
      </c>
      <c r="E808" s="166">
        <v>0.245281</v>
      </c>
      <c r="F808" s="166">
        <v>0.26147199999999998</v>
      </c>
      <c r="G808" s="166">
        <v>0.38434800000000002</v>
      </c>
      <c r="H808" s="166">
        <v>0.42861100000000002</v>
      </c>
    </row>
    <row r="809" spans="1:8" x14ac:dyDescent="0.25">
      <c r="A809" s="147"/>
      <c r="B809" s="147"/>
      <c r="C809" s="147"/>
      <c r="D809" s="147"/>
      <c r="E809" s="147"/>
      <c r="F809" s="147"/>
      <c r="G809" s="147"/>
      <c r="H809" s="147"/>
    </row>
    <row r="810" spans="1:8" x14ac:dyDescent="0.25">
      <c r="A810" s="154" t="s">
        <v>485</v>
      </c>
      <c r="B810" s="147"/>
      <c r="C810" s="147"/>
      <c r="D810" s="147"/>
      <c r="E810" s="147"/>
      <c r="F810" s="147"/>
      <c r="G810" s="147"/>
      <c r="H810" s="147"/>
    </row>
    <row r="811" spans="1:8" x14ac:dyDescent="0.25">
      <c r="A811" s="147" t="s">
        <v>486</v>
      </c>
      <c r="B811" s="166">
        <v>0.38281700000000002</v>
      </c>
      <c r="C811" s="166"/>
      <c r="D811" s="166">
        <v>0.41636499999999999</v>
      </c>
      <c r="E811" s="166">
        <v>0.39370699999999997</v>
      </c>
      <c r="F811" s="166">
        <v>0.41537800000000002</v>
      </c>
      <c r="G811" s="166">
        <v>0.460565</v>
      </c>
      <c r="H811" s="166">
        <v>0.48085</v>
      </c>
    </row>
    <row r="812" spans="1:8" x14ac:dyDescent="0.25">
      <c r="A812" s="147" t="s">
        <v>487</v>
      </c>
      <c r="B812" s="166">
        <v>0.176957</v>
      </c>
      <c r="C812" s="166">
        <v>0.132214</v>
      </c>
      <c r="D812" s="166">
        <v>0.131213</v>
      </c>
      <c r="E812" s="166">
        <v>0.12978999999999999</v>
      </c>
      <c r="F812" s="166">
        <v>0.129826</v>
      </c>
      <c r="G812" s="166">
        <v>0.118448</v>
      </c>
      <c r="H812" s="166">
        <v>0.113843</v>
      </c>
    </row>
    <row r="813" spans="1:8" x14ac:dyDescent="0.25">
      <c r="A813" s="147" t="s">
        <v>488</v>
      </c>
      <c r="B813" s="166">
        <v>0.13433999999999999</v>
      </c>
      <c r="C813" s="166">
        <v>0.18806899999999999</v>
      </c>
      <c r="D813" s="166">
        <v>0.21560199999999999</v>
      </c>
      <c r="E813" s="166">
        <v>0.18881500000000001</v>
      </c>
      <c r="F813" s="166">
        <v>0.21679200000000001</v>
      </c>
      <c r="G813" s="166">
        <v>0.27554499999999998</v>
      </c>
      <c r="H813" s="166">
        <v>0.29898599999999997</v>
      </c>
    </row>
    <row r="814" spans="1:8" x14ac:dyDescent="0.25">
      <c r="A814" s="147" t="s">
        <v>489</v>
      </c>
      <c r="B814" s="166">
        <v>0.12920200000000001</v>
      </c>
      <c r="C814" s="166">
        <v>0.18343999999999999</v>
      </c>
      <c r="D814" s="166">
        <v>0.20858399999999999</v>
      </c>
      <c r="E814" s="166">
        <v>0.17816599999999999</v>
      </c>
      <c r="F814" s="166">
        <v>0.206207</v>
      </c>
      <c r="G814" s="166">
        <v>0.26711099999999999</v>
      </c>
      <c r="H814" s="166">
        <v>0.29144900000000001</v>
      </c>
    </row>
    <row r="815" spans="1:8" x14ac:dyDescent="0.25">
      <c r="A815" s="147" t="s">
        <v>490</v>
      </c>
      <c r="B815" s="166">
        <v>0.12920200000000001</v>
      </c>
      <c r="C815" s="166">
        <v>0.18343999999999999</v>
      </c>
      <c r="D815" s="166">
        <v>0.20858399999999999</v>
      </c>
      <c r="E815" s="166">
        <v>0.17816599999999999</v>
      </c>
      <c r="F815" s="166">
        <v>0.206207</v>
      </c>
      <c r="G815" s="166">
        <v>0.26711099999999999</v>
      </c>
      <c r="H815" s="166">
        <v>0.29144900000000001</v>
      </c>
    </row>
    <row r="816" spans="1:8" x14ac:dyDescent="0.25">
      <c r="A816" s="147" t="s">
        <v>491</v>
      </c>
      <c r="B816" s="166">
        <v>9.2620999999999995E-2</v>
      </c>
      <c r="C816" s="166">
        <v>0.110473</v>
      </c>
      <c r="D816" s="166">
        <v>0.17227600000000001</v>
      </c>
      <c r="E816" s="166">
        <v>0.14207900000000001</v>
      </c>
      <c r="F816" s="166">
        <v>0.16036300000000001</v>
      </c>
      <c r="G816" s="166">
        <v>0.22336900000000001</v>
      </c>
      <c r="H816" s="166">
        <v>0.24046899999999999</v>
      </c>
    </row>
    <row r="817" spans="1:8" x14ac:dyDescent="0.25">
      <c r="A817" s="147" t="s">
        <v>492</v>
      </c>
      <c r="B817" s="166">
        <v>9.2620999999999995E-2</v>
      </c>
      <c r="C817" s="166">
        <v>0.110473</v>
      </c>
      <c r="D817" s="166">
        <v>0.17227600000000001</v>
      </c>
      <c r="E817" s="166">
        <v>0.14207900000000001</v>
      </c>
      <c r="F817" s="166">
        <v>0.16036300000000001</v>
      </c>
      <c r="G817" s="166">
        <v>0.22336900000000001</v>
      </c>
      <c r="H817" s="166">
        <v>0.24046899999999999</v>
      </c>
    </row>
    <row r="818" spans="1:8" x14ac:dyDescent="0.25">
      <c r="A818" s="147" t="s">
        <v>493</v>
      </c>
      <c r="B818" s="166">
        <v>9.2620999999999995E-2</v>
      </c>
      <c r="C818" s="166">
        <v>0.110473</v>
      </c>
      <c r="D818" s="166">
        <v>0.17227600000000001</v>
      </c>
      <c r="E818" s="166">
        <v>0.14207900000000001</v>
      </c>
      <c r="F818" s="166">
        <v>0.16036300000000001</v>
      </c>
      <c r="G818" s="166">
        <v>0.22336900000000001</v>
      </c>
      <c r="H818" s="166">
        <v>0.24046899999999999</v>
      </c>
    </row>
    <row r="819" spans="1:8" x14ac:dyDescent="0.25">
      <c r="A819" s="147" t="s">
        <v>494</v>
      </c>
      <c r="B819" s="166">
        <v>6.3944000000000001E-2</v>
      </c>
      <c r="C819" s="166">
        <v>7.9995999999999998E-2</v>
      </c>
      <c r="D819" s="166">
        <v>0.122906</v>
      </c>
      <c r="E819" s="166">
        <v>0.104061</v>
      </c>
      <c r="F819" s="166">
        <v>0.115005</v>
      </c>
      <c r="G819" s="166">
        <v>0.15970200000000001</v>
      </c>
      <c r="H819" s="166">
        <v>0.174179</v>
      </c>
    </row>
    <row r="820" spans="1:8" x14ac:dyDescent="0.25">
      <c r="A820" s="147" t="s">
        <v>495</v>
      </c>
      <c r="B820" s="166">
        <v>0.77522999999999997</v>
      </c>
      <c r="C820" s="166">
        <v>0.52866900000000006</v>
      </c>
      <c r="D820" s="166">
        <v>0.52693199999999996</v>
      </c>
      <c r="E820" s="166">
        <v>0.52330900000000002</v>
      </c>
      <c r="F820" s="166">
        <v>0.57480500000000001</v>
      </c>
      <c r="G820" s="166">
        <v>0.54495700000000002</v>
      </c>
      <c r="H820" s="166">
        <v>0.53860399999999997</v>
      </c>
    </row>
    <row r="821" spans="1:8" x14ac:dyDescent="0.25">
      <c r="A821" s="147" t="s">
        <v>496</v>
      </c>
      <c r="B821" s="166">
        <v>0.79464199999999996</v>
      </c>
      <c r="C821" s="166">
        <v>0.54785899999999998</v>
      </c>
      <c r="D821" s="166">
        <v>0.54304399999999997</v>
      </c>
      <c r="E821" s="166">
        <v>0.53727000000000003</v>
      </c>
      <c r="F821" s="166">
        <v>0.58777500000000005</v>
      </c>
      <c r="G821" s="166">
        <v>0.55647500000000005</v>
      </c>
      <c r="H821" s="166">
        <v>0.54918900000000004</v>
      </c>
    </row>
    <row r="822" spans="1:8" x14ac:dyDescent="0.25">
      <c r="A822" s="147"/>
      <c r="B822" s="147"/>
      <c r="C822" s="147"/>
      <c r="D822" s="147"/>
      <c r="E822" s="147"/>
      <c r="F822" s="147"/>
      <c r="G822" s="147"/>
      <c r="H822" s="147"/>
    </row>
    <row r="823" spans="1:8" x14ac:dyDescent="0.25">
      <c r="A823" s="154" t="s">
        <v>497</v>
      </c>
      <c r="B823" s="147"/>
      <c r="C823" s="147"/>
      <c r="D823" s="147"/>
      <c r="E823" s="147"/>
      <c r="F823" s="147"/>
      <c r="G823" s="147"/>
      <c r="H823" s="147"/>
    </row>
    <row r="824" spans="1:8" x14ac:dyDescent="0.25">
      <c r="A824" s="147" t="s">
        <v>498</v>
      </c>
      <c r="B824" s="170">
        <v>0.67244000000000004</v>
      </c>
      <c r="C824" s="170">
        <v>0.68242899999999995</v>
      </c>
      <c r="D824" s="170">
        <v>0.708229</v>
      </c>
      <c r="E824" s="170">
        <v>0.67859499999999995</v>
      </c>
      <c r="F824" s="170">
        <v>0.69299100000000002</v>
      </c>
      <c r="G824" s="170">
        <v>0.76201700000000006</v>
      </c>
      <c r="H824" s="170">
        <v>0.80917899999999998</v>
      </c>
    </row>
    <row r="825" spans="1:8" x14ac:dyDescent="0.25">
      <c r="A825" s="147" t="s">
        <v>499</v>
      </c>
      <c r="B825" s="170">
        <v>16.023969000000001</v>
      </c>
      <c r="C825" s="170">
        <v>9.8111949999999997</v>
      </c>
      <c r="D825" s="170">
        <v>8.7760420000000003</v>
      </c>
      <c r="E825" s="170">
        <v>8.5500520000000009</v>
      </c>
      <c r="F825" s="170">
        <v>9.3757570000000001</v>
      </c>
      <c r="G825" s="170">
        <v>10.737546</v>
      </c>
      <c r="H825" s="170">
        <v>10.958073000000001</v>
      </c>
    </row>
    <row r="826" spans="1:8" x14ac:dyDescent="0.25">
      <c r="A826" s="147" t="s">
        <v>500</v>
      </c>
      <c r="B826" s="170">
        <v>49.335884</v>
      </c>
      <c r="C826" s="170">
        <v>46.931342999999998</v>
      </c>
      <c r="D826" s="170">
        <v>41.971628000000003</v>
      </c>
      <c r="E826" s="170">
        <v>35.261245000000002</v>
      </c>
      <c r="F826" s="170">
        <v>29.634453000000001</v>
      </c>
      <c r="G826" s="170">
        <v>29.744959000000001</v>
      </c>
      <c r="H826" s="170">
        <v>29.849993000000001</v>
      </c>
    </row>
    <row r="827" spans="1:8" x14ac:dyDescent="0.25">
      <c r="A827" s="147" t="s">
        <v>501</v>
      </c>
      <c r="B827" s="167" t="s">
        <v>209</v>
      </c>
      <c r="C827" s="167" t="s">
        <v>209</v>
      </c>
      <c r="D827" s="167" t="s">
        <v>209</v>
      </c>
      <c r="E827" s="167" t="s">
        <v>209</v>
      </c>
      <c r="F827" s="167" t="s">
        <v>209</v>
      </c>
      <c r="G827" s="167" t="s">
        <v>209</v>
      </c>
      <c r="H827" s="167" t="s">
        <v>209</v>
      </c>
    </row>
    <row r="828" spans="1:8" x14ac:dyDescent="0.25">
      <c r="A828" s="147"/>
      <c r="B828" s="147"/>
      <c r="C828" s="147"/>
      <c r="D828" s="147"/>
      <c r="E828" s="147"/>
      <c r="F828" s="147"/>
      <c r="G828" s="147"/>
      <c r="H828" s="147"/>
    </row>
    <row r="829" spans="1:8" x14ac:dyDescent="0.25">
      <c r="A829" s="154" t="s">
        <v>502</v>
      </c>
      <c r="B829" s="147"/>
      <c r="C829" s="147"/>
      <c r="D829" s="147"/>
      <c r="E829" s="147"/>
      <c r="F829" s="147"/>
      <c r="G829" s="147"/>
      <c r="H829" s="147"/>
    </row>
    <row r="830" spans="1:8" x14ac:dyDescent="0.25">
      <c r="A830" s="147" t="s">
        <v>503</v>
      </c>
      <c r="B830" s="170">
        <v>0.90122100000000005</v>
      </c>
      <c r="C830" s="170">
        <v>1.2505569999999999</v>
      </c>
      <c r="D830" s="170">
        <v>0.95062500000000005</v>
      </c>
      <c r="E830" s="170">
        <v>1.16839</v>
      </c>
      <c r="F830" s="170">
        <v>1.119345</v>
      </c>
      <c r="G830" s="170">
        <v>1.2180280000000001</v>
      </c>
      <c r="H830" s="170">
        <v>1.3320099999999999</v>
      </c>
    </row>
    <row r="831" spans="1:8" x14ac:dyDescent="0.25">
      <c r="A831" s="147" t="s">
        <v>504</v>
      </c>
      <c r="B831" s="170">
        <v>0.79829000000000006</v>
      </c>
      <c r="C831" s="170">
        <v>1.1294660000000001</v>
      </c>
      <c r="D831" s="170">
        <v>0.80482399999999998</v>
      </c>
      <c r="E831" s="170">
        <v>0.96398600000000001</v>
      </c>
      <c r="F831" s="170">
        <v>1.0134620000000001</v>
      </c>
      <c r="G831" s="170">
        <v>1.075928</v>
      </c>
      <c r="H831" s="170">
        <v>1.1316630000000001</v>
      </c>
    </row>
    <row r="832" spans="1:8" x14ac:dyDescent="0.25">
      <c r="A832" s="147" t="s">
        <v>505</v>
      </c>
      <c r="B832" s="170" t="s">
        <v>359</v>
      </c>
      <c r="C832" s="170">
        <v>0.31093300000000001</v>
      </c>
      <c r="D832" s="170">
        <v>4.6248999999999998E-2</v>
      </c>
      <c r="E832" s="170">
        <v>0.25548599999999999</v>
      </c>
      <c r="F832" s="170">
        <v>0.82096599999999997</v>
      </c>
      <c r="G832" s="170">
        <v>0.68443399999999999</v>
      </c>
      <c r="H832" s="170">
        <v>0.98383299999999996</v>
      </c>
    </row>
    <row r="833" spans="1:8" x14ac:dyDescent="0.25">
      <c r="A833" s="147" t="s">
        <v>506</v>
      </c>
      <c r="B833" s="155">
        <v>7.3981849999999998</v>
      </c>
      <c r="C833" s="155">
        <v>7.798362</v>
      </c>
      <c r="D833" s="155">
        <v>8.6961250000000003</v>
      </c>
      <c r="E833" s="155">
        <v>10.351035</v>
      </c>
      <c r="F833" s="155">
        <v>12.316560000000001</v>
      </c>
      <c r="G833" s="155">
        <v>12.304554</v>
      </c>
      <c r="H833" s="155">
        <v>12.227499999999999</v>
      </c>
    </row>
    <row r="834" spans="1:8" x14ac:dyDescent="0.25">
      <c r="A834" s="147" t="s">
        <v>507</v>
      </c>
      <c r="B834" s="155" t="s">
        <v>209</v>
      </c>
      <c r="C834" s="155" t="s">
        <v>209</v>
      </c>
      <c r="D834" s="155" t="s">
        <v>209</v>
      </c>
      <c r="E834" s="155" t="s">
        <v>209</v>
      </c>
      <c r="F834" s="155" t="s">
        <v>209</v>
      </c>
      <c r="G834" s="155" t="s">
        <v>209</v>
      </c>
      <c r="H834" s="155" t="s">
        <v>209</v>
      </c>
    </row>
    <row r="835" spans="1:8" x14ac:dyDescent="0.25">
      <c r="A835" s="147" t="s">
        <v>508</v>
      </c>
      <c r="B835" s="155">
        <v>18.151814999999999</v>
      </c>
      <c r="C835" s="155">
        <v>15.938568</v>
      </c>
      <c r="D835" s="155">
        <v>15.727119999999999</v>
      </c>
      <c r="E835" s="155">
        <v>14.366764999999999</v>
      </c>
      <c r="F835" s="155">
        <v>13.134525</v>
      </c>
      <c r="G835" s="155">
        <v>14.328900000000001</v>
      </c>
      <c r="H835" s="155">
        <v>11.63036</v>
      </c>
    </row>
    <row r="836" spans="1:8" x14ac:dyDescent="0.25">
      <c r="A836" s="147" t="s">
        <v>509</v>
      </c>
      <c r="B836" s="155" t="s">
        <v>209</v>
      </c>
      <c r="C836" s="155" t="s">
        <v>209</v>
      </c>
      <c r="D836" s="155" t="s">
        <v>209</v>
      </c>
      <c r="E836" s="155" t="s">
        <v>209</v>
      </c>
      <c r="F836" s="155" t="s">
        <v>209</v>
      </c>
      <c r="G836" s="155" t="s">
        <v>209</v>
      </c>
      <c r="H836" s="155" t="s">
        <v>209</v>
      </c>
    </row>
    <row r="837" spans="1:8" x14ac:dyDescent="0.25">
      <c r="A837" s="147"/>
      <c r="B837" s="147"/>
      <c r="C837" s="147"/>
      <c r="D837" s="147"/>
      <c r="E837" s="147"/>
      <c r="F837" s="147"/>
      <c r="G837" s="147"/>
      <c r="H837" s="147"/>
    </row>
    <row r="838" spans="1:8" x14ac:dyDescent="0.25">
      <c r="A838" s="154" t="s">
        <v>510</v>
      </c>
      <c r="B838" s="147"/>
      <c r="C838" s="147"/>
      <c r="D838" s="147"/>
      <c r="E838" s="147"/>
      <c r="F838" s="147"/>
      <c r="G838" s="147"/>
      <c r="H838" s="147"/>
    </row>
    <row r="839" spans="1:8" x14ac:dyDescent="0.25">
      <c r="A839" s="147" t="s">
        <v>511</v>
      </c>
      <c r="B839" s="166">
        <v>2.1593450000000001</v>
      </c>
      <c r="C839" s="166">
        <v>1.6728799999999999</v>
      </c>
      <c r="D839" s="166">
        <v>1.1430549999999999</v>
      </c>
      <c r="E839" s="166">
        <v>0.81490200000000002</v>
      </c>
      <c r="F839" s="166">
        <v>0.82441699999999996</v>
      </c>
      <c r="G839" s="166">
        <v>0.72725799999999996</v>
      </c>
      <c r="H839" s="166">
        <v>0.65822199999999997</v>
      </c>
    </row>
    <row r="840" spans="1:8" x14ac:dyDescent="0.25">
      <c r="A840" s="147" t="s">
        <v>512</v>
      </c>
      <c r="B840" s="166">
        <v>0.68347800000000003</v>
      </c>
      <c r="C840" s="166">
        <v>0.62587099999999996</v>
      </c>
      <c r="D840" s="166">
        <v>0.53337599999999996</v>
      </c>
      <c r="E840" s="166">
        <v>0.44900600000000002</v>
      </c>
      <c r="F840" s="166">
        <v>0.45187899999999998</v>
      </c>
      <c r="G840" s="166">
        <v>0.421047</v>
      </c>
      <c r="H840" s="166">
        <v>0.39694400000000002</v>
      </c>
    </row>
    <row r="841" spans="1:8" x14ac:dyDescent="0.25">
      <c r="A841" s="147" t="s">
        <v>513</v>
      </c>
      <c r="B841" s="166">
        <v>2.134204</v>
      </c>
      <c r="C841" s="166">
        <v>1.604549</v>
      </c>
      <c r="D841" s="166">
        <v>1.079013</v>
      </c>
      <c r="E841" s="166">
        <v>0.79776899999999995</v>
      </c>
      <c r="F841" s="166">
        <v>0.78637900000000005</v>
      </c>
      <c r="G841" s="166">
        <v>0.63782300000000003</v>
      </c>
      <c r="H841" s="166">
        <v>0.64059900000000003</v>
      </c>
    </row>
    <row r="842" spans="1:8" x14ac:dyDescent="0.25">
      <c r="A842" s="147" t="s">
        <v>514</v>
      </c>
      <c r="B842" s="166">
        <v>0.67552100000000004</v>
      </c>
      <c r="C842" s="166">
        <v>0.60030700000000004</v>
      </c>
      <c r="D842" s="166">
        <v>0.50349299999999997</v>
      </c>
      <c r="E842" s="166">
        <v>0.43956600000000001</v>
      </c>
      <c r="F842" s="166">
        <v>0.43103000000000002</v>
      </c>
      <c r="G842" s="166">
        <v>0.36926900000000001</v>
      </c>
      <c r="H842" s="166">
        <v>0.38631700000000002</v>
      </c>
    </row>
    <row r="843" spans="1:8" x14ac:dyDescent="0.25">
      <c r="A843" s="147" t="s">
        <v>515</v>
      </c>
      <c r="B843" s="166">
        <v>0.77683500000000005</v>
      </c>
      <c r="C843" s="166">
        <v>0.71830000000000005</v>
      </c>
      <c r="D843" s="166">
        <v>0.644513</v>
      </c>
      <c r="E843" s="166">
        <v>0.57243500000000003</v>
      </c>
      <c r="F843" s="166">
        <v>0.577519</v>
      </c>
      <c r="G843" s="166">
        <v>0.53862699999999997</v>
      </c>
      <c r="H843" s="166">
        <v>0.52754800000000002</v>
      </c>
    </row>
    <row r="844" spans="1:8" x14ac:dyDescent="0.25">
      <c r="A844" s="147"/>
      <c r="B844" s="147"/>
      <c r="C844" s="147"/>
      <c r="D844" s="147"/>
      <c r="E844" s="147"/>
      <c r="F844" s="147"/>
      <c r="G844" s="147"/>
      <c r="H844" s="147"/>
    </row>
    <row r="845" spans="1:8" x14ac:dyDescent="0.25">
      <c r="A845" s="147" t="s">
        <v>516</v>
      </c>
      <c r="B845" s="170">
        <v>4.1599969999999997</v>
      </c>
      <c r="C845" s="170">
        <v>5.9743250000000003</v>
      </c>
      <c r="D845" s="170">
        <v>8.09084</v>
      </c>
      <c r="E845" s="170">
        <v>7.9761189999999997</v>
      </c>
      <c r="F845" s="170">
        <v>9.9367590000000003</v>
      </c>
      <c r="G845" s="170">
        <v>14.494414000000001</v>
      </c>
      <c r="H845" s="170">
        <v>17.207561999999999</v>
      </c>
    </row>
    <row r="846" spans="1:8" x14ac:dyDescent="0.25">
      <c r="A846" s="147" t="s">
        <v>517</v>
      </c>
      <c r="B846" s="170">
        <v>5.0409040000000003</v>
      </c>
      <c r="C846" s="170">
        <v>6.6990439999999998</v>
      </c>
      <c r="D846" s="170">
        <v>9.0717199999999991</v>
      </c>
      <c r="E846" s="170">
        <v>9.3143989999999999</v>
      </c>
      <c r="F846" s="170">
        <v>11.359435</v>
      </c>
      <c r="G846" s="170">
        <v>15.878636999999999</v>
      </c>
      <c r="H846" s="170">
        <v>18.586852</v>
      </c>
    </row>
    <row r="847" spans="1:8" x14ac:dyDescent="0.25">
      <c r="A847" s="147" t="s">
        <v>518</v>
      </c>
      <c r="B847" s="170">
        <v>4.6367089999999997</v>
      </c>
      <c r="C847" s="170">
        <v>6.0502840000000004</v>
      </c>
      <c r="D847" s="170">
        <v>8.3865440000000007</v>
      </c>
      <c r="E847" s="170">
        <v>8.7370529999999995</v>
      </c>
      <c r="F847" s="170">
        <v>10.861378999999999</v>
      </c>
      <c r="G847" s="170">
        <v>15.267092</v>
      </c>
      <c r="H847" s="170">
        <v>17.759924000000002</v>
      </c>
    </row>
    <row r="848" spans="1:8" x14ac:dyDescent="0.25">
      <c r="A848" s="147" t="s">
        <v>519</v>
      </c>
      <c r="B848" s="170">
        <v>5.1881919999999999</v>
      </c>
      <c r="C848" s="170">
        <v>3.6002700000000001</v>
      </c>
      <c r="D848" s="170">
        <v>2.6083919999999998</v>
      </c>
      <c r="E848" s="170">
        <v>2.5739909999999999</v>
      </c>
      <c r="F848" s="170">
        <v>2.1351149999999999</v>
      </c>
      <c r="G848" s="170">
        <v>1.5767770000000001</v>
      </c>
      <c r="H848" s="170">
        <v>1.250982</v>
      </c>
    </row>
    <row r="849" spans="1:8" x14ac:dyDescent="0.25">
      <c r="A849" s="147" t="s">
        <v>520</v>
      </c>
      <c r="B849" s="170">
        <v>3.5979260000000002</v>
      </c>
      <c r="C849" s="170">
        <v>2.0043280000000001</v>
      </c>
      <c r="D849" s="170">
        <v>1.7405200000000001</v>
      </c>
      <c r="E849" s="170">
        <v>1.652965</v>
      </c>
      <c r="F849" s="170">
        <v>1.2372259999999999</v>
      </c>
      <c r="G849" s="170">
        <v>0.73701899999999998</v>
      </c>
      <c r="H849" s="170">
        <v>0.56818100000000005</v>
      </c>
    </row>
    <row r="850" spans="1:8" x14ac:dyDescent="0.25">
      <c r="A850" s="147" t="s">
        <v>521</v>
      </c>
      <c r="B850" s="170">
        <v>5.6404610000000002</v>
      </c>
      <c r="C850" s="170">
        <v>3.9863200000000001</v>
      </c>
      <c r="D850" s="170">
        <v>2.8214969999999999</v>
      </c>
      <c r="E850" s="170">
        <v>2.744081</v>
      </c>
      <c r="F850" s="170">
        <v>2.2330220000000001</v>
      </c>
      <c r="G850" s="170">
        <v>1.639937</v>
      </c>
      <c r="H850" s="170">
        <v>1.3092299999999999</v>
      </c>
    </row>
    <row r="851" spans="1:8" x14ac:dyDescent="0.25">
      <c r="A851" s="147" t="s">
        <v>522</v>
      </c>
      <c r="B851" s="170">
        <v>3.9115669999999998</v>
      </c>
      <c r="C851" s="170">
        <v>2.219249</v>
      </c>
      <c r="D851" s="170">
        <v>1.882719</v>
      </c>
      <c r="E851" s="170">
        <v>1.762194</v>
      </c>
      <c r="F851" s="170">
        <v>1.2939590000000001</v>
      </c>
      <c r="G851" s="170">
        <v>0.76654100000000003</v>
      </c>
      <c r="H851" s="170">
        <v>0.59463699999999997</v>
      </c>
    </row>
    <row r="852" spans="1:8" x14ac:dyDescent="0.25">
      <c r="A852" s="147"/>
      <c r="B852" s="147"/>
      <c r="C852" s="147"/>
      <c r="D852" s="147"/>
      <c r="E852" s="147"/>
      <c r="F852" s="147"/>
      <c r="G852" s="147"/>
      <c r="H852" s="147"/>
    </row>
    <row r="853" spans="1:8" x14ac:dyDescent="0.25">
      <c r="A853" s="147" t="s">
        <v>523</v>
      </c>
      <c r="B853" s="164">
        <v>4.2900429999999998</v>
      </c>
      <c r="C853" s="164">
        <v>5.5351679999999996</v>
      </c>
      <c r="D853" s="164">
        <v>6.6737890000000002</v>
      </c>
      <c r="E853" s="164">
        <v>4.2886100000000003</v>
      </c>
      <c r="F853" s="164">
        <v>5.5267239999999997</v>
      </c>
      <c r="G853" s="164">
        <v>8.2391670000000001</v>
      </c>
      <c r="H853" s="164">
        <v>11.744837</v>
      </c>
    </row>
    <row r="854" spans="1:8" x14ac:dyDescent="0.25">
      <c r="A854" s="147"/>
      <c r="B854" s="147"/>
      <c r="C854" s="147"/>
      <c r="D854" s="147"/>
      <c r="E854" s="147"/>
      <c r="F854" s="147"/>
      <c r="G854" s="147"/>
      <c r="H854" s="147"/>
    </row>
    <row r="855" spans="1:8" x14ac:dyDescent="0.25">
      <c r="A855" s="154" t="s">
        <v>524</v>
      </c>
      <c r="B855" s="147"/>
      <c r="C855" s="147"/>
      <c r="D855" s="147"/>
      <c r="E855" s="147"/>
      <c r="F855" s="147"/>
      <c r="G855" s="147"/>
      <c r="H855" s="147"/>
    </row>
    <row r="856" spans="1:8" x14ac:dyDescent="0.25">
      <c r="A856" s="147" t="s">
        <v>172</v>
      </c>
      <c r="B856" s="166">
        <v>0.27618100000000001</v>
      </c>
      <c r="C856" s="166">
        <v>0.24010200000000001</v>
      </c>
      <c r="D856" s="166">
        <v>0.18810099999999999</v>
      </c>
      <c r="E856" s="166">
        <v>6.4573000000000005E-2</v>
      </c>
      <c r="F856" s="166">
        <v>6.6668000000000005E-2</v>
      </c>
      <c r="G856" s="166">
        <v>0.156499</v>
      </c>
      <c r="H856" s="166">
        <v>0.154081</v>
      </c>
    </row>
    <row r="857" spans="1:8" x14ac:dyDescent="0.25">
      <c r="A857" s="147" t="s">
        <v>174</v>
      </c>
      <c r="B857" s="166">
        <v>0.32426500000000003</v>
      </c>
      <c r="C857" s="166">
        <v>0.25964700000000002</v>
      </c>
      <c r="D857" s="166">
        <v>0.27217000000000002</v>
      </c>
      <c r="E857" s="166">
        <v>6.6389999999999999E-3</v>
      </c>
      <c r="F857" s="166">
        <v>0.12538199999999999</v>
      </c>
      <c r="G857" s="166">
        <v>0.28230899999999998</v>
      </c>
      <c r="H857" s="166">
        <v>0.226356</v>
      </c>
    </row>
    <row r="858" spans="1:8" x14ac:dyDescent="0.25">
      <c r="A858" s="147" t="s">
        <v>525</v>
      </c>
      <c r="B858" s="166">
        <v>0.60380199999999995</v>
      </c>
      <c r="C858" s="166">
        <v>0.73607400000000001</v>
      </c>
      <c r="D858" s="166">
        <v>0.36203400000000002</v>
      </c>
      <c r="E858" s="166">
        <v>-6.769E-2</v>
      </c>
      <c r="F858" s="166">
        <v>0.224714</v>
      </c>
      <c r="G858" s="166">
        <v>0.46992200000000001</v>
      </c>
      <c r="H858" s="166">
        <v>0.29996800000000001</v>
      </c>
    </row>
    <row r="859" spans="1:8" x14ac:dyDescent="0.25">
      <c r="A859" s="147" t="s">
        <v>526</v>
      </c>
      <c r="B859" s="166">
        <v>0.622359</v>
      </c>
      <c r="C859" s="166">
        <v>0.76069100000000001</v>
      </c>
      <c r="D859" s="166">
        <v>0.35095199999999999</v>
      </c>
      <c r="E859" s="166">
        <v>-9.0674000000000005E-2</v>
      </c>
      <c r="F859" s="166">
        <v>0.23454800000000001</v>
      </c>
      <c r="G859" s="166">
        <v>0.49807400000000002</v>
      </c>
      <c r="H859" s="166">
        <v>0.31135299999999999</v>
      </c>
    </row>
    <row r="860" spans="1:8" x14ac:dyDescent="0.25">
      <c r="A860" s="147" t="s">
        <v>527</v>
      </c>
      <c r="B860" s="166">
        <v>0.622359</v>
      </c>
      <c r="C860" s="166">
        <v>0.76069100000000001</v>
      </c>
      <c r="D860" s="166">
        <v>0.35095199999999999</v>
      </c>
      <c r="E860" s="166">
        <v>-9.0674000000000005E-2</v>
      </c>
      <c r="F860" s="166">
        <v>0.23454800000000001</v>
      </c>
      <c r="G860" s="166">
        <v>0.49807400000000002</v>
      </c>
      <c r="H860" s="166">
        <v>0.31135299999999999</v>
      </c>
    </row>
    <row r="861" spans="1:8" x14ac:dyDescent="0.25">
      <c r="A861" s="147" t="s">
        <v>190</v>
      </c>
      <c r="B861" s="166">
        <v>0.541323</v>
      </c>
      <c r="C861" s="166">
        <v>0.47912100000000002</v>
      </c>
      <c r="D861" s="166">
        <v>0.852769</v>
      </c>
      <c r="E861" s="166">
        <v>-0.12202499999999999</v>
      </c>
      <c r="F861" s="166">
        <v>0.20393600000000001</v>
      </c>
      <c r="G861" s="166">
        <v>0.61088100000000001</v>
      </c>
      <c r="H861" s="166">
        <v>0.34063300000000002</v>
      </c>
    </row>
    <row r="862" spans="1:8" x14ac:dyDescent="0.25">
      <c r="A862" s="147" t="s">
        <v>195</v>
      </c>
      <c r="B862" s="166">
        <v>0.541323</v>
      </c>
      <c r="C862" s="166">
        <v>0.47912100000000002</v>
      </c>
      <c r="D862" s="166">
        <v>0.852769</v>
      </c>
      <c r="E862" s="166">
        <v>-0.12202499999999999</v>
      </c>
      <c r="F862" s="166">
        <v>0.20393600000000001</v>
      </c>
      <c r="G862" s="166">
        <v>0.61088100000000001</v>
      </c>
      <c r="H862" s="166">
        <v>0.34063300000000002</v>
      </c>
    </row>
    <row r="863" spans="1:8" x14ac:dyDescent="0.25">
      <c r="A863" s="147" t="s">
        <v>528</v>
      </c>
      <c r="B863" s="166">
        <v>0.68145199999999995</v>
      </c>
      <c r="C863" s="166">
        <v>0.55140100000000003</v>
      </c>
      <c r="D863" s="166">
        <v>0.825403</v>
      </c>
      <c r="E863" s="166">
        <v>-9.8658999999999997E-2</v>
      </c>
      <c r="F863" s="166">
        <v>0.17885400000000001</v>
      </c>
      <c r="G863" s="166">
        <v>0.60596300000000003</v>
      </c>
      <c r="H863" s="166">
        <v>0.34629100000000002</v>
      </c>
    </row>
    <row r="864" spans="1:8" x14ac:dyDescent="0.25">
      <c r="A864" s="147" t="s">
        <v>529</v>
      </c>
      <c r="B864" s="166">
        <v>0.54104399999999997</v>
      </c>
      <c r="C864" s="166">
        <v>0.47215400000000002</v>
      </c>
      <c r="D864" s="166">
        <v>0.84868399999999999</v>
      </c>
      <c r="E864" s="166">
        <v>-0.114769</v>
      </c>
      <c r="F864" s="166">
        <v>0.20904500000000001</v>
      </c>
      <c r="G864" s="166">
        <v>0.64837900000000004</v>
      </c>
      <c r="H864" s="166">
        <v>0.35539100000000001</v>
      </c>
    </row>
    <row r="865" spans="1:8" x14ac:dyDescent="0.25">
      <c r="A865" s="147"/>
      <c r="B865" s="147"/>
      <c r="C865" s="147"/>
      <c r="D865" s="147"/>
      <c r="E865" s="147"/>
      <c r="F865" s="147"/>
      <c r="G865" s="147"/>
      <c r="H865" s="147"/>
    </row>
    <row r="866" spans="1:8" x14ac:dyDescent="0.25">
      <c r="A866" s="147" t="s">
        <v>530</v>
      </c>
      <c r="B866" s="166">
        <v>0.25278099999999998</v>
      </c>
      <c r="C866" s="166">
        <v>0.34423399999999998</v>
      </c>
      <c r="D866" s="166">
        <v>0.31678899999999999</v>
      </c>
      <c r="E866" s="166">
        <v>0.22948299999999999</v>
      </c>
      <c r="F866" s="166">
        <v>0.30150300000000002</v>
      </c>
      <c r="G866" s="166">
        <v>3.7488E-2</v>
      </c>
      <c r="H866" s="166">
        <v>0.38691700000000001</v>
      </c>
    </row>
    <row r="867" spans="1:8" x14ac:dyDescent="0.25">
      <c r="A867" s="147" t="s">
        <v>531</v>
      </c>
      <c r="B867" s="167" t="s">
        <v>209</v>
      </c>
      <c r="C867" s="167" t="s">
        <v>209</v>
      </c>
      <c r="D867" s="167" t="s">
        <v>209</v>
      </c>
      <c r="E867" s="167" t="s">
        <v>209</v>
      </c>
      <c r="F867" s="167" t="s">
        <v>209</v>
      </c>
      <c r="G867" s="167" t="s">
        <v>209</v>
      </c>
      <c r="H867" s="167" t="s">
        <v>209</v>
      </c>
    </row>
    <row r="868" spans="1:8" x14ac:dyDescent="0.25">
      <c r="A868" s="147" t="s">
        <v>532</v>
      </c>
      <c r="B868" s="166">
        <v>4.0145850000000003</v>
      </c>
      <c r="C868" s="166">
        <v>0.42927300000000002</v>
      </c>
      <c r="D868" s="166">
        <v>0.25755099999999997</v>
      </c>
      <c r="E868" s="166">
        <v>-3.8367999999999999E-2</v>
      </c>
      <c r="F868" s="166">
        <v>-1.5733E-2</v>
      </c>
      <c r="G868" s="166">
        <v>3.5792999999999998E-2</v>
      </c>
      <c r="H868" s="166">
        <v>9.3025999999999998E-2</v>
      </c>
    </row>
    <row r="869" spans="1:8" x14ac:dyDescent="0.25">
      <c r="A869" s="147" t="s">
        <v>150</v>
      </c>
      <c r="B869" s="166">
        <v>0.30804599999999999</v>
      </c>
      <c r="C869" s="166">
        <v>0.15612999999999999</v>
      </c>
      <c r="D869" s="166">
        <v>0.13503699999999999</v>
      </c>
      <c r="E869" s="166">
        <v>8.9942999999999995E-2</v>
      </c>
      <c r="F869" s="166">
        <v>2.823E-3</v>
      </c>
      <c r="G869" s="166">
        <v>0.10051599999999999</v>
      </c>
      <c r="H869" s="166">
        <v>5.0743999999999997E-2</v>
      </c>
    </row>
    <row r="870" spans="1:8" x14ac:dyDescent="0.25">
      <c r="A870" s="147"/>
      <c r="B870" s="147"/>
      <c r="C870" s="147"/>
      <c r="D870" s="147"/>
      <c r="E870" s="147"/>
      <c r="F870" s="147"/>
      <c r="G870" s="147"/>
      <c r="H870" s="147"/>
    </row>
    <row r="871" spans="1:8" x14ac:dyDescent="0.25">
      <c r="A871" s="147" t="s">
        <v>533</v>
      </c>
      <c r="B871" s="166" t="s">
        <v>359</v>
      </c>
      <c r="C871" s="166" t="s">
        <v>359</v>
      </c>
      <c r="D871" s="166" t="s">
        <v>359</v>
      </c>
      <c r="E871" s="166">
        <v>2.9242659999999998</v>
      </c>
      <c r="F871" s="166">
        <v>-2.2280999999999999E-2</v>
      </c>
      <c r="G871" s="166">
        <v>0.56647099999999995</v>
      </c>
      <c r="H871" s="166">
        <v>0.32255400000000001</v>
      </c>
    </row>
    <row r="872" spans="1:8" x14ac:dyDescent="0.25">
      <c r="A872" s="147" t="s">
        <v>534</v>
      </c>
      <c r="B872" s="166">
        <v>0.44731700000000002</v>
      </c>
      <c r="C872" s="166">
        <v>0.45937800000000001</v>
      </c>
      <c r="D872" s="166">
        <v>0.43234499999999998</v>
      </c>
      <c r="E872" s="166">
        <v>0.31093900000000002</v>
      </c>
      <c r="F872" s="166">
        <v>-9.1009999999999997E-3</v>
      </c>
      <c r="G872" s="166">
        <v>0.201825</v>
      </c>
      <c r="H872" s="166">
        <v>0.14230599999999999</v>
      </c>
    </row>
    <row r="873" spans="1:8" x14ac:dyDescent="0.25">
      <c r="A873" s="147" t="s">
        <v>298</v>
      </c>
      <c r="B873" s="166" t="s">
        <v>359</v>
      </c>
      <c r="C873" s="166" t="s">
        <v>359</v>
      </c>
      <c r="D873" s="166">
        <v>-0.83823800000000004</v>
      </c>
      <c r="E873" s="166">
        <v>4.1609910000000001</v>
      </c>
      <c r="F873" s="166">
        <v>2.5900180000000002</v>
      </c>
      <c r="G873" s="166">
        <v>1.1967999999999999E-2</v>
      </c>
      <c r="H873" s="166">
        <v>0.27873700000000001</v>
      </c>
    </row>
    <row r="874" spans="1:8" x14ac:dyDescent="0.25">
      <c r="A874" s="147" t="s">
        <v>535</v>
      </c>
      <c r="B874" s="166">
        <v>0.454675</v>
      </c>
      <c r="C874" s="166">
        <v>0.96780200000000005</v>
      </c>
      <c r="D874" s="166">
        <v>5.3546000000000003E-2</v>
      </c>
      <c r="E874" s="166">
        <v>-0.22275900000000001</v>
      </c>
      <c r="F874" s="166">
        <v>-0.14513899999999999</v>
      </c>
      <c r="G874" s="166">
        <v>0.26103900000000002</v>
      </c>
      <c r="H874" s="166">
        <v>0.67604299999999995</v>
      </c>
    </row>
    <row r="875" spans="1:8" x14ac:dyDescent="0.25">
      <c r="A875" s="147" t="s">
        <v>536</v>
      </c>
      <c r="B875" s="166">
        <v>0.84464499999999998</v>
      </c>
      <c r="C875" s="166">
        <v>-0.154312</v>
      </c>
      <c r="D875" s="166">
        <v>0.184197</v>
      </c>
      <c r="E875" s="166">
        <v>5.7253999999999999E-2</v>
      </c>
      <c r="F875" s="166">
        <v>0.17163400000000001</v>
      </c>
      <c r="G875" s="166">
        <v>9.6444000000000002E-2</v>
      </c>
      <c r="H875" s="166">
        <v>7.9301999999999997E-2</v>
      </c>
    </row>
    <row r="876" spans="1:8" x14ac:dyDescent="0.25">
      <c r="A876" s="147" t="s">
        <v>537</v>
      </c>
      <c r="B876" s="166">
        <v>0.83393700000000004</v>
      </c>
      <c r="C876" s="166">
        <v>-0.14502200000000001</v>
      </c>
      <c r="D876" s="166">
        <v>0.17765900000000001</v>
      </c>
      <c r="E876" s="166">
        <v>5.3253000000000002E-2</v>
      </c>
      <c r="F876" s="166">
        <v>0.166939</v>
      </c>
      <c r="G876" s="166">
        <v>9.4911999999999996E-2</v>
      </c>
      <c r="H876" s="166">
        <v>7.8673000000000007E-2</v>
      </c>
    </row>
    <row r="877" spans="1:8" x14ac:dyDescent="0.25">
      <c r="A877" s="147" t="s">
        <v>538</v>
      </c>
      <c r="B877" s="167" t="s">
        <v>209</v>
      </c>
      <c r="C877" s="167" t="s">
        <v>209</v>
      </c>
      <c r="D877" s="167" t="s">
        <v>209</v>
      </c>
      <c r="E877" s="167" t="s">
        <v>209</v>
      </c>
      <c r="F877" s="167" t="s">
        <v>209</v>
      </c>
      <c r="G877" s="167" t="s">
        <v>209</v>
      </c>
      <c r="H877" s="167" t="s">
        <v>209</v>
      </c>
    </row>
    <row r="878" spans="1:8" x14ac:dyDescent="0.25">
      <c r="A878" s="147"/>
      <c r="B878" s="147"/>
      <c r="C878" s="147"/>
      <c r="D878" s="147"/>
      <c r="E878" s="147"/>
      <c r="F878" s="147"/>
      <c r="G878" s="147"/>
      <c r="H878" s="147"/>
    </row>
    <row r="879" spans="1:8" x14ac:dyDescent="0.25">
      <c r="A879" s="154" t="s">
        <v>539</v>
      </c>
      <c r="B879" s="147"/>
      <c r="C879" s="147"/>
      <c r="D879" s="147"/>
      <c r="E879" s="147"/>
      <c r="F879" s="147"/>
      <c r="G879" s="147"/>
      <c r="H879" s="147"/>
    </row>
    <row r="880" spans="1:8" x14ac:dyDescent="0.25">
      <c r="A880" s="147" t="s">
        <v>172</v>
      </c>
      <c r="B880" s="166">
        <v>0.31295299999999998</v>
      </c>
      <c r="C880" s="166">
        <v>0.25801200000000002</v>
      </c>
      <c r="D880" s="166">
        <v>0.21382300000000001</v>
      </c>
      <c r="E880" s="166">
        <v>0.124643</v>
      </c>
      <c r="F880" s="166">
        <v>6.5619999999999998E-2</v>
      </c>
      <c r="G880" s="166">
        <v>0.110675</v>
      </c>
      <c r="H880" s="166">
        <v>0.15101899999999999</v>
      </c>
    </row>
    <row r="881" spans="1:8" x14ac:dyDescent="0.25">
      <c r="A881" s="147" t="s">
        <v>174</v>
      </c>
      <c r="B881" s="166">
        <v>0.452042</v>
      </c>
      <c r="C881" s="166">
        <v>0.29155300000000001</v>
      </c>
      <c r="D881" s="166">
        <v>0.26589299999999999</v>
      </c>
      <c r="E881" s="166">
        <v>0.13164300000000001</v>
      </c>
      <c r="F881" s="166">
        <v>6.4355999999999997E-2</v>
      </c>
      <c r="G881" s="166">
        <v>0.20128599999999999</v>
      </c>
      <c r="H881" s="166">
        <v>0.27009499999999997</v>
      </c>
    </row>
    <row r="882" spans="1:8" x14ac:dyDescent="0.25">
      <c r="A882" s="147" t="s">
        <v>525</v>
      </c>
      <c r="B882" s="166">
        <v>0.72444500000000001</v>
      </c>
      <c r="C882" s="166">
        <v>0.668628</v>
      </c>
      <c r="D882" s="166">
        <v>0.53772299999999995</v>
      </c>
      <c r="E882" s="166">
        <v>0.12687100000000001</v>
      </c>
      <c r="F882" s="166">
        <v>6.8557000000000007E-2</v>
      </c>
      <c r="G882" s="166">
        <v>0.34172799999999998</v>
      </c>
      <c r="H882" s="166">
        <v>0.42672700000000002</v>
      </c>
    </row>
    <row r="883" spans="1:8" x14ac:dyDescent="0.25">
      <c r="A883" s="147" t="s">
        <v>526</v>
      </c>
      <c r="B883" s="166">
        <v>0.762154</v>
      </c>
      <c r="C883" s="166">
        <v>0.69011100000000003</v>
      </c>
      <c r="D883" s="166">
        <v>0.54227499999999995</v>
      </c>
      <c r="E883" s="166">
        <v>0.108358</v>
      </c>
      <c r="F883" s="166">
        <v>5.9532000000000002E-2</v>
      </c>
      <c r="G883" s="166">
        <v>0.35994300000000001</v>
      </c>
      <c r="H883" s="166">
        <v>0.45064900000000002</v>
      </c>
    </row>
    <row r="884" spans="1:8" x14ac:dyDescent="0.25">
      <c r="A884" s="147" t="s">
        <v>527</v>
      </c>
      <c r="B884" s="166">
        <v>0.762154</v>
      </c>
      <c r="C884" s="166">
        <v>0.69011100000000003</v>
      </c>
      <c r="D884" s="166">
        <v>0.54227499999999995</v>
      </c>
      <c r="E884" s="166">
        <v>0.108358</v>
      </c>
      <c r="F884" s="166">
        <v>5.9532000000000002E-2</v>
      </c>
      <c r="G884" s="166">
        <v>0.35994300000000001</v>
      </c>
      <c r="H884" s="166">
        <v>0.45064900000000002</v>
      </c>
    </row>
    <row r="885" spans="1:8" x14ac:dyDescent="0.25">
      <c r="A885" s="147" t="s">
        <v>190</v>
      </c>
      <c r="B885" s="166">
        <v>0.82761200000000001</v>
      </c>
      <c r="C885" s="166">
        <v>0.50990199999999997</v>
      </c>
      <c r="D885" s="166">
        <v>0.65543600000000002</v>
      </c>
      <c r="E885" s="166">
        <v>0.27541599999999999</v>
      </c>
      <c r="F885" s="166">
        <v>2.8118000000000001E-2</v>
      </c>
      <c r="G885" s="166">
        <v>0.392623</v>
      </c>
      <c r="H885" s="166">
        <v>0.51823399999999997</v>
      </c>
    </row>
    <row r="886" spans="1:8" x14ac:dyDescent="0.25">
      <c r="A886" s="147" t="s">
        <v>195</v>
      </c>
      <c r="B886" s="166">
        <v>0.82761200000000001</v>
      </c>
      <c r="C886" s="166">
        <v>0.50990199999999997</v>
      </c>
      <c r="D886" s="166">
        <v>0.65543600000000002</v>
      </c>
      <c r="E886" s="166">
        <v>0.27541599999999999</v>
      </c>
      <c r="F886" s="166">
        <v>2.8118000000000001E-2</v>
      </c>
      <c r="G886" s="166">
        <v>0.392623</v>
      </c>
      <c r="H886" s="166">
        <v>0.51823399999999997</v>
      </c>
    </row>
    <row r="887" spans="1:8" x14ac:dyDescent="0.25">
      <c r="A887" s="147" t="s">
        <v>528</v>
      </c>
      <c r="B887" s="166">
        <v>1.061361</v>
      </c>
      <c r="C887" s="166">
        <v>0.61511899999999997</v>
      </c>
      <c r="D887" s="166">
        <v>0.68283499999999997</v>
      </c>
      <c r="E887" s="166">
        <v>0.28269699999999998</v>
      </c>
      <c r="F887" s="166">
        <v>3.0800999999999999E-2</v>
      </c>
      <c r="G887" s="166">
        <v>0.37593500000000002</v>
      </c>
      <c r="H887" s="166">
        <v>0.54012800000000005</v>
      </c>
    </row>
    <row r="888" spans="1:8" x14ac:dyDescent="0.25">
      <c r="A888" s="147" t="s">
        <v>529</v>
      </c>
      <c r="B888" s="166">
        <v>0.81769099999999995</v>
      </c>
      <c r="C888" s="166">
        <v>0.50620600000000004</v>
      </c>
      <c r="D888" s="166">
        <v>0.64971199999999996</v>
      </c>
      <c r="E888" s="166">
        <v>0.27926299999999998</v>
      </c>
      <c r="F888" s="166">
        <v>3.4544999999999999E-2</v>
      </c>
      <c r="G888" s="166">
        <v>0.41172399999999998</v>
      </c>
      <c r="H888" s="166">
        <v>0.545234</v>
      </c>
    </row>
    <row r="889" spans="1:8" x14ac:dyDescent="0.25">
      <c r="A889" s="147"/>
      <c r="B889" s="147"/>
      <c r="C889" s="147"/>
      <c r="D889" s="147"/>
      <c r="E889" s="147"/>
      <c r="F889" s="147"/>
      <c r="G889" s="147"/>
      <c r="H889" s="147"/>
    </row>
    <row r="890" spans="1:8" x14ac:dyDescent="0.25">
      <c r="A890" s="147" t="s">
        <v>530</v>
      </c>
      <c r="B890" s="167" t="s">
        <v>209</v>
      </c>
      <c r="C890" s="166">
        <v>0.297703</v>
      </c>
      <c r="D890" s="166">
        <v>0.33044099999999998</v>
      </c>
      <c r="E890" s="166">
        <v>0.27238800000000002</v>
      </c>
      <c r="F890" s="166">
        <v>0.26498100000000002</v>
      </c>
      <c r="G890" s="166">
        <v>0.162022</v>
      </c>
      <c r="H890" s="166">
        <v>0.217141</v>
      </c>
    </row>
    <row r="891" spans="1:8" x14ac:dyDescent="0.25">
      <c r="A891" s="147" t="s">
        <v>531</v>
      </c>
      <c r="B891" s="167" t="s">
        <v>209</v>
      </c>
      <c r="C891" s="167" t="s">
        <v>209</v>
      </c>
      <c r="D891" s="167" t="s">
        <v>209</v>
      </c>
      <c r="E891" s="167" t="s">
        <v>209</v>
      </c>
      <c r="F891" s="167" t="s">
        <v>209</v>
      </c>
      <c r="G891" s="167" t="s">
        <v>209</v>
      </c>
      <c r="H891" s="167" t="s">
        <v>209</v>
      </c>
    </row>
    <row r="892" spans="1:8" x14ac:dyDescent="0.25">
      <c r="A892" s="147" t="s">
        <v>532</v>
      </c>
      <c r="B892" s="166">
        <v>1.5626040000000001</v>
      </c>
      <c r="C892" s="166">
        <v>1.677165</v>
      </c>
      <c r="D892" s="166">
        <v>0.34066600000000002</v>
      </c>
      <c r="E892" s="166">
        <v>9.9682999999999994E-2</v>
      </c>
      <c r="F892" s="166">
        <v>-2.7116000000000001E-2</v>
      </c>
      <c r="G892" s="166">
        <v>9.7009999999999996E-3</v>
      </c>
      <c r="H892" s="166">
        <v>6.8283999999999997E-2</v>
      </c>
    </row>
    <row r="893" spans="1:8" x14ac:dyDescent="0.25">
      <c r="A893" s="147" t="s">
        <v>150</v>
      </c>
      <c r="B893" s="166">
        <v>0.33678599999999997</v>
      </c>
      <c r="C893" s="166">
        <v>0.229745</v>
      </c>
      <c r="D893" s="166">
        <v>0.145535</v>
      </c>
      <c r="E893" s="166">
        <v>0.112262</v>
      </c>
      <c r="F893" s="166">
        <v>4.5476000000000003E-2</v>
      </c>
      <c r="G893" s="166">
        <v>5.0534999999999997E-2</v>
      </c>
      <c r="H893" s="166">
        <v>5.3449000000000003E-2</v>
      </c>
    </row>
    <row r="894" spans="1:8" x14ac:dyDescent="0.25">
      <c r="A894" s="147"/>
      <c r="B894" s="147"/>
      <c r="C894" s="147"/>
      <c r="D894" s="147"/>
      <c r="E894" s="147"/>
      <c r="F894" s="147"/>
      <c r="G894" s="147"/>
      <c r="H894" s="147"/>
    </row>
    <row r="895" spans="1:8" x14ac:dyDescent="0.25">
      <c r="A895" s="147" t="s">
        <v>533</v>
      </c>
      <c r="B895" s="166" t="s">
        <v>359</v>
      </c>
      <c r="C895" s="166" t="s">
        <v>359</v>
      </c>
      <c r="D895" s="166" t="s">
        <v>359</v>
      </c>
      <c r="E895" s="166" t="s">
        <v>359</v>
      </c>
      <c r="F895" s="166">
        <v>0.95878399999999997</v>
      </c>
      <c r="G895" s="166">
        <v>0.237566</v>
      </c>
      <c r="H895" s="166">
        <v>0.19473799999999999</v>
      </c>
    </row>
    <row r="896" spans="1:8" x14ac:dyDescent="0.25">
      <c r="A896" s="147" t="s">
        <v>534</v>
      </c>
      <c r="B896" s="166">
        <v>0.45490999999999998</v>
      </c>
      <c r="C896" s="166">
        <v>0.45333499999999999</v>
      </c>
      <c r="D896" s="166">
        <v>0.445799</v>
      </c>
      <c r="E896" s="166">
        <v>0.37029899999999999</v>
      </c>
      <c r="F896" s="166">
        <v>0.13974</v>
      </c>
      <c r="G896" s="166">
        <v>9.1277999999999998E-2</v>
      </c>
      <c r="H896" s="166">
        <v>8.3505999999999997E-2</v>
      </c>
    </row>
    <row r="897" spans="1:8" x14ac:dyDescent="0.25">
      <c r="A897" s="147" t="s">
        <v>298</v>
      </c>
      <c r="B897" s="166" t="s">
        <v>359</v>
      </c>
      <c r="C897" s="166" t="s">
        <v>359</v>
      </c>
      <c r="D897" s="166" t="s">
        <v>359</v>
      </c>
      <c r="E897" s="166">
        <v>-8.6296999999999999E-2</v>
      </c>
      <c r="F897" s="166">
        <v>3.3044229999999999</v>
      </c>
      <c r="G897" s="166">
        <v>0.90603900000000004</v>
      </c>
      <c r="H897" s="166">
        <v>0.25746599999999997</v>
      </c>
    </row>
    <row r="898" spans="1:8" x14ac:dyDescent="0.25">
      <c r="A898" s="147" t="s">
        <v>535</v>
      </c>
      <c r="B898" s="166">
        <v>0.208338</v>
      </c>
      <c r="C898" s="166">
        <v>0.69189699999999998</v>
      </c>
      <c r="D898" s="166">
        <v>0.43985099999999999</v>
      </c>
      <c r="E898" s="166">
        <v>-9.5091999999999996E-2</v>
      </c>
      <c r="F898" s="166">
        <v>-0.18487200000000001</v>
      </c>
      <c r="G898" s="166">
        <v>3.8275000000000003E-2</v>
      </c>
      <c r="H898" s="166">
        <v>0.26693299999999998</v>
      </c>
    </row>
    <row r="899" spans="1:8" x14ac:dyDescent="0.25">
      <c r="A899" s="147" t="s">
        <v>536</v>
      </c>
      <c r="B899" s="166">
        <v>0.53025800000000001</v>
      </c>
      <c r="C899" s="166">
        <v>0.248998</v>
      </c>
      <c r="D899" s="166">
        <v>7.3099999999999999E-4</v>
      </c>
      <c r="E899" s="166">
        <v>0.118927</v>
      </c>
      <c r="F899" s="166">
        <v>0.11297599999999999</v>
      </c>
      <c r="G899" s="166">
        <v>0.13341600000000001</v>
      </c>
      <c r="H899" s="166">
        <v>0.138485</v>
      </c>
    </row>
    <row r="900" spans="1:8" x14ac:dyDescent="0.25">
      <c r="A900" s="147" t="s">
        <v>537</v>
      </c>
      <c r="B900" s="166">
        <v>0.53229899999999997</v>
      </c>
      <c r="C900" s="166">
        <v>0.252189</v>
      </c>
      <c r="D900" s="166">
        <v>3.431E-3</v>
      </c>
      <c r="E900" s="166">
        <v>0.11372</v>
      </c>
      <c r="F900" s="166">
        <v>0.10864</v>
      </c>
      <c r="G900" s="166">
        <v>0.130352</v>
      </c>
      <c r="H900" s="166">
        <v>0.13600799999999999</v>
      </c>
    </row>
    <row r="901" spans="1:8" x14ac:dyDescent="0.25">
      <c r="A901" s="147" t="s">
        <v>538</v>
      </c>
      <c r="B901" s="167" t="s">
        <v>209</v>
      </c>
      <c r="C901" s="167" t="s">
        <v>209</v>
      </c>
      <c r="D901" s="167" t="s">
        <v>209</v>
      </c>
      <c r="E901" s="167" t="s">
        <v>209</v>
      </c>
      <c r="F901" s="167" t="s">
        <v>209</v>
      </c>
      <c r="G901" s="167" t="s">
        <v>209</v>
      </c>
      <c r="H901" s="167" t="s">
        <v>209</v>
      </c>
    </row>
    <row r="902" spans="1:8" x14ac:dyDescent="0.25">
      <c r="A902" s="147"/>
      <c r="B902" s="147"/>
      <c r="C902" s="147"/>
      <c r="D902" s="147"/>
      <c r="E902" s="147"/>
      <c r="F902" s="147"/>
      <c r="G902" s="147"/>
      <c r="H902" s="147"/>
    </row>
    <row r="903" spans="1:8" x14ac:dyDescent="0.25">
      <c r="A903" s="154" t="s">
        <v>540</v>
      </c>
      <c r="B903" s="147"/>
      <c r="C903" s="147"/>
      <c r="D903" s="147"/>
      <c r="E903" s="147"/>
      <c r="F903" s="147"/>
      <c r="G903" s="147"/>
      <c r="H903" s="147"/>
    </row>
    <row r="904" spans="1:8" x14ac:dyDescent="0.25">
      <c r="A904" s="147" t="s">
        <v>172</v>
      </c>
      <c r="B904" s="166">
        <v>0.31665900000000002</v>
      </c>
      <c r="C904" s="166">
        <v>0.28820600000000002</v>
      </c>
      <c r="D904" s="166">
        <v>0.234263</v>
      </c>
      <c r="E904" s="166">
        <v>0.161883</v>
      </c>
      <c r="F904" s="166">
        <v>0.104976</v>
      </c>
      <c r="G904" s="166">
        <v>9.5090999999999995E-2</v>
      </c>
      <c r="H904" s="166">
        <v>0.11287700000000001</v>
      </c>
    </row>
    <row r="905" spans="1:8" x14ac:dyDescent="0.25">
      <c r="A905" s="147" t="s">
        <v>174</v>
      </c>
      <c r="B905" s="166">
        <v>0.44203799999999999</v>
      </c>
      <c r="C905" s="166">
        <v>0.384849</v>
      </c>
      <c r="D905" s="166">
        <v>0.28505900000000001</v>
      </c>
      <c r="E905" s="166">
        <v>0.17279700000000001</v>
      </c>
      <c r="F905" s="166">
        <v>0.129552</v>
      </c>
      <c r="G905" s="166">
        <v>0.132545</v>
      </c>
      <c r="H905" s="166">
        <v>0.18709100000000001</v>
      </c>
    </row>
    <row r="906" spans="1:8" x14ac:dyDescent="0.25">
      <c r="A906" s="147" t="s">
        <v>525</v>
      </c>
      <c r="B906" s="166">
        <v>0.836287</v>
      </c>
      <c r="C906" s="166">
        <v>0.72831299999999999</v>
      </c>
      <c r="D906" s="166">
        <v>0.55944099999999997</v>
      </c>
      <c r="E906" s="166">
        <v>0.30148399999999997</v>
      </c>
      <c r="F906" s="166">
        <v>0.158585</v>
      </c>
      <c r="G906" s="166">
        <v>0.18840200000000001</v>
      </c>
      <c r="H906" s="166">
        <v>0.29140700000000003</v>
      </c>
    </row>
    <row r="907" spans="1:8" x14ac:dyDescent="0.25">
      <c r="A907" s="147" t="s">
        <v>526</v>
      </c>
      <c r="B907" s="166">
        <v>0.89981900000000004</v>
      </c>
      <c r="C907" s="166">
        <v>0.76166599999999995</v>
      </c>
      <c r="D907" s="166">
        <v>0.56852100000000005</v>
      </c>
      <c r="E907" s="166">
        <v>0.29324600000000001</v>
      </c>
      <c r="F907" s="166">
        <v>0.148919</v>
      </c>
      <c r="G907" s="166">
        <v>0.189197</v>
      </c>
      <c r="H907" s="166">
        <v>0.30301400000000001</v>
      </c>
    </row>
    <row r="908" spans="1:8" x14ac:dyDescent="0.25">
      <c r="A908" s="147" t="s">
        <v>527</v>
      </c>
      <c r="B908" s="166">
        <v>0.89981900000000004</v>
      </c>
      <c r="C908" s="166">
        <v>0.76166599999999995</v>
      </c>
      <c r="D908" s="166">
        <v>0.56852100000000005</v>
      </c>
      <c r="E908" s="166">
        <v>0.29324600000000001</v>
      </c>
      <c r="F908" s="166">
        <v>0.148919</v>
      </c>
      <c r="G908" s="166">
        <v>0.189197</v>
      </c>
      <c r="H908" s="166">
        <v>0.30301400000000001</v>
      </c>
    </row>
    <row r="909" spans="1:8" x14ac:dyDescent="0.25">
      <c r="A909" s="147" t="s">
        <v>190</v>
      </c>
      <c r="B909" s="166">
        <v>1.154487</v>
      </c>
      <c r="C909" s="166">
        <v>0.70316699999999999</v>
      </c>
      <c r="D909" s="166">
        <v>0.61648999999999998</v>
      </c>
      <c r="E909" s="166">
        <v>0.33999299999999999</v>
      </c>
      <c r="F909" s="166">
        <v>0.25113000000000002</v>
      </c>
      <c r="G909" s="166">
        <v>0.19412499999999999</v>
      </c>
      <c r="H909" s="166">
        <v>0.27404699999999999</v>
      </c>
    </row>
    <row r="910" spans="1:8" x14ac:dyDescent="0.25">
      <c r="A910" s="147" t="s">
        <v>195</v>
      </c>
      <c r="B910" s="166">
        <v>1.154487</v>
      </c>
      <c r="C910" s="166">
        <v>0.70316699999999999</v>
      </c>
      <c r="D910" s="166">
        <v>0.61648999999999998</v>
      </c>
      <c r="E910" s="166">
        <v>0.33999299999999999</v>
      </c>
      <c r="F910" s="166">
        <v>0.25113000000000002</v>
      </c>
      <c r="G910" s="166">
        <v>0.19412499999999999</v>
      </c>
      <c r="H910" s="166">
        <v>0.27404699999999999</v>
      </c>
    </row>
    <row r="911" spans="1:8" x14ac:dyDescent="0.25">
      <c r="A911" s="147" t="s">
        <v>528</v>
      </c>
      <c r="B911" s="166">
        <v>0.99299400000000004</v>
      </c>
      <c r="C911" s="166">
        <v>0.87504099999999996</v>
      </c>
      <c r="D911" s="166">
        <v>0.68237400000000004</v>
      </c>
      <c r="E911" s="166">
        <v>0.366651</v>
      </c>
      <c r="F911" s="166">
        <v>0.24710399999999999</v>
      </c>
      <c r="G911" s="166">
        <v>0.19498299999999999</v>
      </c>
      <c r="H911" s="166">
        <v>0.279192</v>
      </c>
    </row>
    <row r="912" spans="1:8" x14ac:dyDescent="0.25">
      <c r="A912" s="147" t="s">
        <v>529</v>
      </c>
      <c r="B912" s="166">
        <v>1.1256600000000001</v>
      </c>
      <c r="C912" s="166">
        <v>0.69432899999999997</v>
      </c>
      <c r="D912" s="166">
        <v>0.61266399999999999</v>
      </c>
      <c r="E912" s="166">
        <v>0.34057399999999999</v>
      </c>
      <c r="F912" s="166">
        <v>0.255415</v>
      </c>
      <c r="G912" s="166">
        <v>0.20832999999999999</v>
      </c>
      <c r="H912" s="166">
        <v>0.289578</v>
      </c>
    </row>
    <row r="913" spans="1:8" x14ac:dyDescent="0.25">
      <c r="A913" s="147"/>
      <c r="B913" s="147"/>
      <c r="C913" s="147"/>
      <c r="D913" s="147"/>
      <c r="E913" s="147"/>
      <c r="F913" s="147"/>
      <c r="G913" s="147"/>
      <c r="H913" s="147"/>
    </row>
    <row r="914" spans="1:8" x14ac:dyDescent="0.25">
      <c r="A914" s="147" t="s">
        <v>530</v>
      </c>
      <c r="B914" s="167" t="s">
        <v>209</v>
      </c>
      <c r="C914" s="167" t="s">
        <v>209</v>
      </c>
      <c r="D914" s="166">
        <v>0.30403400000000003</v>
      </c>
      <c r="E914" s="166">
        <v>0.2959</v>
      </c>
      <c r="F914" s="166">
        <v>0.28201999999999999</v>
      </c>
      <c r="G914" s="166">
        <v>0.184087</v>
      </c>
      <c r="H914" s="166">
        <v>0.24503800000000001</v>
      </c>
    </row>
    <row r="915" spans="1:8" x14ac:dyDescent="0.25">
      <c r="A915" s="147" t="s">
        <v>531</v>
      </c>
      <c r="B915" s="167" t="s">
        <v>209</v>
      </c>
      <c r="C915" s="167" t="s">
        <v>209</v>
      </c>
      <c r="D915" s="167" t="s">
        <v>209</v>
      </c>
      <c r="E915" s="167" t="s">
        <v>209</v>
      </c>
      <c r="F915" s="167" t="s">
        <v>209</v>
      </c>
      <c r="G915" s="167" t="s">
        <v>209</v>
      </c>
      <c r="H915" s="167" t="s">
        <v>209</v>
      </c>
    </row>
    <row r="916" spans="1:8" x14ac:dyDescent="0.25">
      <c r="A916" s="147" t="s">
        <v>532</v>
      </c>
      <c r="B916" s="166">
        <v>1.0309189999999999</v>
      </c>
      <c r="C916" s="166">
        <v>1.109402</v>
      </c>
      <c r="D916" s="166">
        <v>1.0810960000000001</v>
      </c>
      <c r="E916" s="166">
        <v>0.200098</v>
      </c>
      <c r="F916" s="166">
        <v>5.9781000000000001E-2</v>
      </c>
      <c r="G916" s="166">
        <v>-6.5830000000000003E-3</v>
      </c>
      <c r="H916" s="166">
        <v>4.8760999999999999E-2</v>
      </c>
    </row>
    <row r="917" spans="1:8" x14ac:dyDescent="0.25">
      <c r="A917" s="147" t="s">
        <v>150</v>
      </c>
      <c r="B917" s="166">
        <v>0.35733100000000001</v>
      </c>
      <c r="C917" s="166">
        <v>0.27363100000000001</v>
      </c>
      <c r="D917" s="166">
        <v>0.197328</v>
      </c>
      <c r="E917" s="166">
        <v>0.126696</v>
      </c>
      <c r="F917" s="166">
        <v>7.4515999999999999E-2</v>
      </c>
      <c r="G917" s="166">
        <v>6.3509999999999997E-2</v>
      </c>
      <c r="H917" s="166">
        <v>4.9209000000000003E-2</v>
      </c>
    </row>
    <row r="918" spans="1:8" x14ac:dyDescent="0.25">
      <c r="A918" s="147"/>
      <c r="B918" s="147"/>
      <c r="C918" s="147"/>
      <c r="D918" s="147"/>
      <c r="E918" s="147"/>
      <c r="F918" s="147"/>
      <c r="G918" s="147"/>
      <c r="H918" s="147"/>
    </row>
    <row r="919" spans="1:8" x14ac:dyDescent="0.25">
      <c r="A919" s="147" t="s">
        <v>533</v>
      </c>
      <c r="B919" s="166" t="s">
        <v>359</v>
      </c>
      <c r="C919" s="166" t="s">
        <v>359</v>
      </c>
      <c r="D919" s="166" t="s">
        <v>359</v>
      </c>
      <c r="E919" s="166" t="s">
        <v>359</v>
      </c>
      <c r="F919" s="166" t="s">
        <v>359</v>
      </c>
      <c r="G919" s="166">
        <v>0.81815899999999997</v>
      </c>
      <c r="H919" s="166">
        <v>0.20064000000000001</v>
      </c>
    </row>
    <row r="920" spans="1:8" x14ac:dyDescent="0.25">
      <c r="A920" s="147" t="s">
        <v>534</v>
      </c>
      <c r="B920" s="166">
        <v>0.41437099999999999</v>
      </c>
      <c r="C920" s="166">
        <v>0.45639800000000003</v>
      </c>
      <c r="D920" s="166">
        <v>0.44630500000000001</v>
      </c>
      <c r="E920" s="166">
        <v>0.39937099999999998</v>
      </c>
      <c r="F920" s="166">
        <v>0.22994800000000001</v>
      </c>
      <c r="G920" s="166">
        <v>0.16007099999999999</v>
      </c>
      <c r="H920" s="166">
        <v>8.1313999999999997E-2</v>
      </c>
    </row>
    <row r="921" spans="1:8" x14ac:dyDescent="0.25">
      <c r="A921" s="147" t="s">
        <v>298</v>
      </c>
      <c r="B921" s="166" t="s">
        <v>359</v>
      </c>
      <c r="C921" s="166" t="s">
        <v>359</v>
      </c>
      <c r="D921" s="166" t="s">
        <v>359</v>
      </c>
      <c r="E921" s="166" t="s">
        <v>359</v>
      </c>
      <c r="F921" s="166">
        <v>0.44179200000000002</v>
      </c>
      <c r="G921" s="166">
        <v>1.6566380000000001</v>
      </c>
      <c r="H921" s="166">
        <v>1.009952</v>
      </c>
    </row>
    <row r="922" spans="1:8" x14ac:dyDescent="0.25">
      <c r="A922" s="147" t="s">
        <v>535</v>
      </c>
      <c r="B922" s="166">
        <v>0.32959100000000002</v>
      </c>
      <c r="C922" s="166">
        <v>0.42162899999999998</v>
      </c>
      <c r="D922" s="166">
        <v>0.444776</v>
      </c>
      <c r="E922" s="166">
        <v>0.17236699999999999</v>
      </c>
      <c r="F922" s="166">
        <v>-0.112091</v>
      </c>
      <c r="G922" s="166">
        <v>-5.7257000000000002E-2</v>
      </c>
      <c r="H922" s="166">
        <v>9.5501000000000003E-2</v>
      </c>
    </row>
    <row r="923" spans="1:8" x14ac:dyDescent="0.25">
      <c r="A923" s="147" t="s">
        <v>536</v>
      </c>
      <c r="B923" s="166">
        <v>0.43854100000000001</v>
      </c>
      <c r="C923" s="166">
        <v>0.25577899999999998</v>
      </c>
      <c r="D923" s="166">
        <v>0.22701299999999999</v>
      </c>
      <c r="E923" s="166">
        <v>1.9227999999999999E-2</v>
      </c>
      <c r="F923" s="166">
        <v>0.13622699999999999</v>
      </c>
      <c r="G923" s="166">
        <v>0.10743800000000001</v>
      </c>
      <c r="H923" s="166">
        <v>0.114748</v>
      </c>
    </row>
    <row r="924" spans="1:8" x14ac:dyDescent="0.25">
      <c r="A924" s="147" t="s">
        <v>537</v>
      </c>
      <c r="B924" s="166">
        <v>0.441909</v>
      </c>
      <c r="C924" s="166">
        <v>0.26148100000000002</v>
      </c>
      <c r="D924" s="166">
        <v>0.22683600000000001</v>
      </c>
      <c r="E924" s="166">
        <v>1.9771E-2</v>
      </c>
      <c r="F924" s="166">
        <v>0.131185</v>
      </c>
      <c r="G924" s="166">
        <v>0.104045</v>
      </c>
      <c r="H924" s="166">
        <v>0.112132</v>
      </c>
    </row>
    <row r="925" spans="1:8" x14ac:dyDescent="0.25">
      <c r="A925" s="147" t="s">
        <v>538</v>
      </c>
      <c r="B925" s="167" t="s">
        <v>209</v>
      </c>
      <c r="C925" s="167" t="s">
        <v>209</v>
      </c>
      <c r="D925" s="167" t="s">
        <v>209</v>
      </c>
      <c r="E925" s="167" t="s">
        <v>209</v>
      </c>
      <c r="F925" s="167" t="s">
        <v>209</v>
      </c>
      <c r="G925" s="167" t="s">
        <v>209</v>
      </c>
      <c r="H925" s="167" t="s">
        <v>209</v>
      </c>
    </row>
    <row r="926" spans="1:8" x14ac:dyDescent="0.25">
      <c r="A926" s="147"/>
      <c r="B926" s="147"/>
      <c r="C926" s="147"/>
      <c r="D926" s="147"/>
      <c r="E926" s="147"/>
      <c r="F926" s="147"/>
      <c r="G926" s="147"/>
      <c r="H926" s="147"/>
    </row>
    <row r="927" spans="1:8" x14ac:dyDescent="0.25">
      <c r="A927" s="154" t="s">
        <v>541</v>
      </c>
      <c r="B927" s="147"/>
      <c r="C927" s="147"/>
      <c r="D927" s="147"/>
      <c r="E927" s="147"/>
      <c r="F927" s="147"/>
      <c r="G927" s="147"/>
      <c r="H927" s="147"/>
    </row>
    <row r="928" spans="1:8" x14ac:dyDescent="0.25">
      <c r="A928" s="147" t="s">
        <v>172</v>
      </c>
      <c r="B928" s="166">
        <v>0.29639300000000002</v>
      </c>
      <c r="C928" s="166">
        <v>0.29817900000000003</v>
      </c>
      <c r="D928" s="166">
        <v>0.27451900000000001</v>
      </c>
      <c r="E928" s="166">
        <v>0.220105</v>
      </c>
      <c r="F928" s="166">
        <v>0.16381999999999999</v>
      </c>
      <c r="G928" s="166">
        <v>0.141122</v>
      </c>
      <c r="H928" s="166">
        <v>0.12738099999999999</v>
      </c>
    </row>
    <row r="929" spans="1:8" x14ac:dyDescent="0.25">
      <c r="A929" s="147" t="s">
        <v>174</v>
      </c>
      <c r="B929" s="166">
        <v>0.34517700000000001</v>
      </c>
      <c r="C929" s="166">
        <v>0.34747299999999998</v>
      </c>
      <c r="D929" s="166">
        <v>0.36881599999999998</v>
      </c>
      <c r="E929" s="166">
        <v>0.277395</v>
      </c>
      <c r="F929" s="166">
        <v>0.19176000000000001</v>
      </c>
      <c r="G929" s="166">
        <v>0.184111</v>
      </c>
      <c r="H929" s="166">
        <v>0.17680799999999999</v>
      </c>
    </row>
    <row r="930" spans="1:8" x14ac:dyDescent="0.25">
      <c r="A930" s="147" t="s">
        <v>525</v>
      </c>
      <c r="B930" s="166">
        <v>0.42758699999999999</v>
      </c>
      <c r="C930" s="166">
        <v>0.66434300000000002</v>
      </c>
      <c r="D930" s="166">
        <v>0.71047000000000005</v>
      </c>
      <c r="E930" s="166">
        <v>0.45654299999999998</v>
      </c>
      <c r="F930" s="166">
        <v>0.34060400000000002</v>
      </c>
      <c r="G930" s="166">
        <v>0.31743500000000002</v>
      </c>
      <c r="H930" s="166">
        <v>0.252888</v>
      </c>
    </row>
    <row r="931" spans="1:8" x14ac:dyDescent="0.25">
      <c r="A931" s="147" t="s">
        <v>526</v>
      </c>
      <c r="B931" s="166">
        <v>0.45261800000000002</v>
      </c>
      <c r="C931" s="166">
        <v>0.71861399999999998</v>
      </c>
      <c r="D931" s="166">
        <v>0.74780100000000005</v>
      </c>
      <c r="E931" s="166">
        <v>0.463613</v>
      </c>
      <c r="F931" s="166">
        <v>0.340725</v>
      </c>
      <c r="G931" s="166">
        <v>0.319523</v>
      </c>
      <c r="H931" s="166">
        <v>0.25323600000000002</v>
      </c>
    </row>
    <row r="932" spans="1:8" x14ac:dyDescent="0.25">
      <c r="A932" s="147" t="s">
        <v>527</v>
      </c>
      <c r="B932" s="166">
        <v>0.45261800000000002</v>
      </c>
      <c r="C932" s="166">
        <v>0.71861399999999998</v>
      </c>
      <c r="D932" s="166">
        <v>0.74780100000000005</v>
      </c>
      <c r="E932" s="166">
        <v>0.463613</v>
      </c>
      <c r="F932" s="166">
        <v>0.340725</v>
      </c>
      <c r="G932" s="166">
        <v>0.319523</v>
      </c>
      <c r="H932" s="166">
        <v>0.25323600000000002</v>
      </c>
    </row>
    <row r="933" spans="1:8" x14ac:dyDescent="0.25">
      <c r="A933" s="147" t="s">
        <v>190</v>
      </c>
      <c r="B933" s="166">
        <v>0.47566599999999998</v>
      </c>
      <c r="C933" s="166">
        <v>0.86422600000000005</v>
      </c>
      <c r="D933" s="166">
        <v>0.938971</v>
      </c>
      <c r="E933" s="166">
        <v>0.51710299999999998</v>
      </c>
      <c r="F933" s="166">
        <v>0.34884199999999999</v>
      </c>
      <c r="G933" s="166">
        <v>0.36080200000000001</v>
      </c>
      <c r="H933" s="166">
        <v>0.30030000000000001</v>
      </c>
    </row>
    <row r="934" spans="1:8" x14ac:dyDescent="0.25">
      <c r="A934" s="147" t="s">
        <v>195</v>
      </c>
      <c r="B934" s="166">
        <v>0.47566599999999998</v>
      </c>
      <c r="C934" s="166">
        <v>0.86422600000000005</v>
      </c>
      <c r="D934" s="166">
        <v>0.938971</v>
      </c>
      <c r="E934" s="166">
        <v>0.51710299999999998</v>
      </c>
      <c r="F934" s="166">
        <v>0.34884199999999999</v>
      </c>
      <c r="G934" s="166">
        <v>0.36080200000000001</v>
      </c>
      <c r="H934" s="166">
        <v>0.30030000000000001</v>
      </c>
    </row>
    <row r="935" spans="1:8" x14ac:dyDescent="0.25">
      <c r="A935" s="147" t="s">
        <v>528</v>
      </c>
      <c r="B935" s="166">
        <v>0.42629899999999998</v>
      </c>
      <c r="C935" s="166">
        <v>0.86476900000000001</v>
      </c>
      <c r="D935" s="166">
        <v>0.86260300000000001</v>
      </c>
      <c r="E935" s="166">
        <v>0.61085400000000001</v>
      </c>
      <c r="F935" s="166">
        <v>0.38300400000000001</v>
      </c>
      <c r="G935" s="166">
        <v>0.37035699999999999</v>
      </c>
      <c r="H935" s="166">
        <v>0.33581299999999997</v>
      </c>
    </row>
    <row r="936" spans="1:8" x14ac:dyDescent="0.25">
      <c r="A936" s="147" t="s">
        <v>529</v>
      </c>
      <c r="B936" s="166">
        <v>0.46120699999999998</v>
      </c>
      <c r="C936" s="166">
        <v>0.85075599999999996</v>
      </c>
      <c r="D936" s="166">
        <v>0.92069999999999996</v>
      </c>
      <c r="E936" s="166">
        <v>0.51419800000000004</v>
      </c>
      <c r="F936" s="166">
        <v>0.35028700000000002</v>
      </c>
      <c r="G936" s="166">
        <v>0.36859399999999998</v>
      </c>
      <c r="H936" s="166">
        <v>0.31043799999999999</v>
      </c>
    </row>
    <row r="937" spans="1:8" x14ac:dyDescent="0.25">
      <c r="A937" s="147"/>
      <c r="B937" s="147"/>
      <c r="C937" s="147"/>
      <c r="D937" s="147"/>
      <c r="E937" s="147"/>
      <c r="F937" s="147"/>
      <c r="G937" s="147"/>
      <c r="H937" s="147"/>
    </row>
    <row r="938" spans="1:8" x14ac:dyDescent="0.25">
      <c r="A938" s="147" t="s">
        <v>530</v>
      </c>
      <c r="B938" s="167" t="s">
        <v>209</v>
      </c>
      <c r="C938" s="167" t="s">
        <v>209</v>
      </c>
      <c r="D938" s="167" t="s">
        <v>209</v>
      </c>
      <c r="E938" s="167" t="s">
        <v>209</v>
      </c>
      <c r="F938" s="166">
        <v>0.28827000000000003</v>
      </c>
      <c r="G938" s="166">
        <v>0.240591</v>
      </c>
      <c r="H938" s="166">
        <v>0.227989</v>
      </c>
    </row>
    <row r="939" spans="1:8" x14ac:dyDescent="0.25">
      <c r="A939" s="147" t="s">
        <v>531</v>
      </c>
      <c r="B939" s="167" t="s">
        <v>209</v>
      </c>
      <c r="C939" s="167" t="s">
        <v>209</v>
      </c>
      <c r="D939" s="167" t="s">
        <v>209</v>
      </c>
      <c r="E939" s="167" t="s">
        <v>209</v>
      </c>
      <c r="F939" s="167" t="s">
        <v>209</v>
      </c>
      <c r="G939" s="167" t="s">
        <v>209</v>
      </c>
      <c r="H939" s="167" t="s">
        <v>209</v>
      </c>
    </row>
    <row r="940" spans="1:8" x14ac:dyDescent="0.25">
      <c r="A940" s="147" t="s">
        <v>532</v>
      </c>
      <c r="B940" s="166">
        <v>0.69509799999999999</v>
      </c>
      <c r="C940" s="166">
        <v>0.76826700000000003</v>
      </c>
      <c r="D940" s="166">
        <v>0.72006099999999995</v>
      </c>
      <c r="E940" s="166">
        <v>0.62555899999999998</v>
      </c>
      <c r="F940" s="166">
        <v>0.53532299999999999</v>
      </c>
      <c r="G940" s="166">
        <v>0.119972</v>
      </c>
      <c r="H940" s="166">
        <v>8.3627999999999994E-2</v>
      </c>
    </row>
    <row r="941" spans="1:8" x14ac:dyDescent="0.25">
      <c r="A941" s="147" t="s">
        <v>150</v>
      </c>
      <c r="B941" s="166">
        <v>0.369898</v>
      </c>
      <c r="C941" s="166">
        <v>0.30945499999999998</v>
      </c>
      <c r="D941" s="166">
        <v>0.26827899999999999</v>
      </c>
      <c r="E941" s="166">
        <v>0.20644899999999999</v>
      </c>
      <c r="F941" s="166">
        <v>0.134106</v>
      </c>
      <c r="G941" s="166">
        <v>9.5590999999999995E-2</v>
      </c>
      <c r="H941" s="166">
        <v>7.3003999999999999E-2</v>
      </c>
    </row>
    <row r="942" spans="1:8" x14ac:dyDescent="0.25">
      <c r="A942" s="147"/>
      <c r="B942" s="147"/>
      <c r="C942" s="147"/>
      <c r="D942" s="147"/>
      <c r="E942" s="147"/>
      <c r="F942" s="147"/>
      <c r="G942" s="147"/>
      <c r="H942" s="147"/>
    </row>
    <row r="943" spans="1:8" x14ac:dyDescent="0.25">
      <c r="A943" s="147" t="s">
        <v>533</v>
      </c>
      <c r="B943" s="166" t="s">
        <v>359</v>
      </c>
      <c r="C943" s="166" t="s">
        <v>359</v>
      </c>
      <c r="D943" s="166" t="s">
        <v>359</v>
      </c>
      <c r="E943" s="166" t="s">
        <v>359</v>
      </c>
      <c r="F943" s="166" t="s">
        <v>359</v>
      </c>
      <c r="G943" s="166" t="s">
        <v>359</v>
      </c>
      <c r="H943" s="166" t="s">
        <v>359</v>
      </c>
    </row>
    <row r="944" spans="1:8" x14ac:dyDescent="0.25">
      <c r="A944" s="147" t="s">
        <v>534</v>
      </c>
      <c r="B944" s="166">
        <v>0.32483899999999999</v>
      </c>
      <c r="C944" s="166">
        <v>0.37843900000000003</v>
      </c>
      <c r="D944" s="166">
        <v>0.42686000000000002</v>
      </c>
      <c r="E944" s="166">
        <v>0.42132799999999998</v>
      </c>
      <c r="F944" s="166">
        <v>0.31485600000000002</v>
      </c>
      <c r="G944" s="166">
        <v>0.26687499999999997</v>
      </c>
      <c r="H944" s="166">
        <v>0.20224500000000001</v>
      </c>
    </row>
    <row r="945" spans="1:8" x14ac:dyDescent="0.25">
      <c r="A945" s="147" t="s">
        <v>298</v>
      </c>
      <c r="B945" s="166" t="s">
        <v>359</v>
      </c>
      <c r="C945" s="166" t="s">
        <v>359</v>
      </c>
      <c r="D945" s="166" t="s">
        <v>359</v>
      </c>
      <c r="E945" s="166" t="s">
        <v>359</v>
      </c>
      <c r="F945" s="166" t="s">
        <v>359</v>
      </c>
      <c r="G945" s="166" t="s">
        <v>359</v>
      </c>
      <c r="H945" s="166">
        <v>0.54072900000000002</v>
      </c>
    </row>
    <row r="946" spans="1:8" x14ac:dyDescent="0.25">
      <c r="A946" s="147" t="s">
        <v>535</v>
      </c>
      <c r="B946" s="166">
        <v>0.294068</v>
      </c>
      <c r="C946" s="166">
        <v>0.40406700000000001</v>
      </c>
      <c r="D946" s="166">
        <v>0.37264399999999998</v>
      </c>
      <c r="E946" s="166">
        <v>0.18662500000000001</v>
      </c>
      <c r="F946" s="166">
        <v>0.14913399999999999</v>
      </c>
      <c r="G946" s="166">
        <v>0.116769</v>
      </c>
      <c r="H946" s="166">
        <v>5.8465000000000003E-2</v>
      </c>
    </row>
    <row r="947" spans="1:8" x14ac:dyDescent="0.25">
      <c r="A947" s="147" t="s">
        <v>536</v>
      </c>
      <c r="B947" s="166">
        <v>0.389067</v>
      </c>
      <c r="C947" s="166">
        <v>0.29171799999999998</v>
      </c>
      <c r="D947" s="166">
        <v>0.244171</v>
      </c>
      <c r="E947" s="166">
        <v>0.19913700000000001</v>
      </c>
      <c r="F947" s="166">
        <v>0.180059</v>
      </c>
      <c r="G947" s="166">
        <v>6.3453999999999997E-2</v>
      </c>
      <c r="H947" s="166">
        <v>0.140287</v>
      </c>
    </row>
    <row r="948" spans="1:8" x14ac:dyDescent="0.25">
      <c r="A948" s="147" t="s">
        <v>537</v>
      </c>
      <c r="B948" s="166">
        <v>0.39307300000000001</v>
      </c>
      <c r="C948" s="166">
        <v>0.29516700000000001</v>
      </c>
      <c r="D948" s="166">
        <v>0.24726200000000001</v>
      </c>
      <c r="E948" s="166">
        <v>0.200159</v>
      </c>
      <c r="F948" s="166">
        <v>0.178116</v>
      </c>
      <c r="G948" s="166">
        <v>6.2642000000000003E-2</v>
      </c>
      <c r="H948" s="166">
        <v>0.1361</v>
      </c>
    </row>
    <row r="949" spans="1:8" x14ac:dyDescent="0.25">
      <c r="A949" s="147" t="s">
        <v>538</v>
      </c>
      <c r="B949" s="167" t="s">
        <v>209</v>
      </c>
      <c r="C949" s="167" t="s">
        <v>209</v>
      </c>
      <c r="D949" s="167" t="s">
        <v>209</v>
      </c>
      <c r="E949" s="167" t="s">
        <v>209</v>
      </c>
      <c r="F949" s="167" t="s">
        <v>209</v>
      </c>
      <c r="G949" s="167" t="s">
        <v>209</v>
      </c>
      <c r="H949" s="167" t="s">
        <v>209</v>
      </c>
    </row>
    <row r="951" spans="1:8" x14ac:dyDescent="0.25">
      <c r="A951" s="143" t="s">
        <v>542</v>
      </c>
      <c r="B951" s="144"/>
      <c r="C951" s="144"/>
      <c r="D951" s="144"/>
      <c r="E951" s="144"/>
      <c r="F951" s="144"/>
      <c r="G951" s="144"/>
    </row>
    <row r="952" spans="1:8" x14ac:dyDescent="0.25">
      <c r="A952" s="144"/>
      <c r="B952" s="144"/>
      <c r="C952" s="144"/>
      <c r="D952" s="144"/>
      <c r="E952" s="144"/>
      <c r="F952" s="144"/>
      <c r="G952" s="144"/>
    </row>
    <row r="953" spans="1:8" x14ac:dyDescent="0.25">
      <c r="A953" s="145" t="s">
        <v>164</v>
      </c>
      <c r="B953" s="146" t="s">
        <v>114</v>
      </c>
      <c r="C953" s="144" t="s">
        <v>115</v>
      </c>
      <c r="D953" s="147" t="s">
        <v>113</v>
      </c>
      <c r="E953" s="146" t="s">
        <v>116</v>
      </c>
      <c r="F953" s="144" t="s">
        <v>117</v>
      </c>
      <c r="G953" s="144"/>
    </row>
    <row r="954" spans="1:8" x14ac:dyDescent="0.25">
      <c r="A954" s="147"/>
      <c r="B954" s="146" t="s">
        <v>120</v>
      </c>
      <c r="C954" s="144" t="s">
        <v>121</v>
      </c>
      <c r="D954" s="147" t="s">
        <v>113</v>
      </c>
      <c r="E954" s="146" t="s">
        <v>122</v>
      </c>
      <c r="F954" s="144" t="s">
        <v>123</v>
      </c>
      <c r="G954" s="144"/>
    </row>
    <row r="955" spans="1:8" x14ac:dyDescent="0.25">
      <c r="A955" s="147"/>
      <c r="B955" s="146" t="s">
        <v>118</v>
      </c>
      <c r="C955" s="144" t="s">
        <v>119</v>
      </c>
      <c r="D955" s="147" t="s">
        <v>113</v>
      </c>
      <c r="E955" s="146" t="s">
        <v>124</v>
      </c>
      <c r="F955" s="144" t="s">
        <v>125</v>
      </c>
      <c r="G955" s="144"/>
    </row>
    <row r="956" spans="1:8" x14ac:dyDescent="0.25">
      <c r="A956" s="147"/>
      <c r="B956" s="146" t="s">
        <v>126</v>
      </c>
      <c r="C956" s="148" t="s">
        <v>127</v>
      </c>
      <c r="D956" s="147" t="s">
        <v>113</v>
      </c>
      <c r="E956" s="146" t="s">
        <v>167</v>
      </c>
      <c r="F956" s="144" t="s">
        <v>168</v>
      </c>
      <c r="G956" s="144"/>
    </row>
    <row r="957" spans="1:8" x14ac:dyDescent="0.25">
      <c r="A957" s="144"/>
      <c r="B957" s="144"/>
      <c r="C957" s="144"/>
      <c r="D957" s="144"/>
      <c r="E957" s="144"/>
      <c r="F957" s="144"/>
      <c r="G957" s="144"/>
    </row>
    <row r="958" spans="1:8" x14ac:dyDescent="0.25">
      <c r="A958" s="144"/>
      <c r="B958" s="144"/>
      <c r="C958" s="144"/>
      <c r="D958" s="144"/>
      <c r="E958" s="144"/>
      <c r="F958" s="144"/>
      <c r="G958" s="144"/>
    </row>
    <row r="959" spans="1:8" x14ac:dyDescent="0.25">
      <c r="A959" s="149" t="s">
        <v>543</v>
      </c>
      <c r="B959" s="149"/>
      <c r="C959" s="149"/>
      <c r="D959" s="149"/>
      <c r="E959" s="149"/>
      <c r="F959" s="149"/>
      <c r="G959" s="149"/>
    </row>
    <row r="960" spans="1:8" ht="31.5" x14ac:dyDescent="0.25">
      <c r="A960" s="150" t="s">
        <v>129</v>
      </c>
      <c r="B960" s="151" t="s">
        <v>130</v>
      </c>
      <c r="C960" s="151" t="s">
        <v>131</v>
      </c>
      <c r="D960" s="151" t="s">
        <v>132</v>
      </c>
      <c r="E960" s="151" t="s">
        <v>133</v>
      </c>
      <c r="F960" s="151" t="s">
        <v>134</v>
      </c>
      <c r="G960" s="151" t="s">
        <v>135</v>
      </c>
    </row>
    <row r="961" spans="1:7" x14ac:dyDescent="0.25">
      <c r="A961" s="152" t="s">
        <v>136</v>
      </c>
      <c r="B961" s="153" t="s">
        <v>137</v>
      </c>
      <c r="C961" s="153" t="s">
        <v>137</v>
      </c>
      <c r="D961" s="153" t="s">
        <v>137</v>
      </c>
      <c r="E961" s="153" t="s">
        <v>137</v>
      </c>
      <c r="F961" s="153" t="s">
        <v>137</v>
      </c>
      <c r="G961" s="153" t="s">
        <v>137</v>
      </c>
    </row>
    <row r="962" spans="1:7" x14ac:dyDescent="0.25">
      <c r="A962" s="154" t="s">
        <v>544</v>
      </c>
      <c r="B962" s="147"/>
      <c r="C962" s="147"/>
      <c r="D962" s="147"/>
      <c r="E962" s="147"/>
      <c r="F962" s="147"/>
      <c r="G962" s="147"/>
    </row>
    <row r="963" spans="1:7" x14ac:dyDescent="0.25">
      <c r="A963" s="147" t="s">
        <v>545</v>
      </c>
      <c r="B963" s="155">
        <v>204.79277999999999</v>
      </c>
      <c r="C963" s="155">
        <v>208.59325999999999</v>
      </c>
      <c r="D963" s="155">
        <v>186.7681</v>
      </c>
      <c r="E963" s="155">
        <v>175.95850999999999</v>
      </c>
      <c r="F963" s="155">
        <v>198.96861000000001</v>
      </c>
      <c r="G963" s="155">
        <v>196.95108999999999</v>
      </c>
    </row>
    <row r="964" spans="1:7" x14ac:dyDescent="0.25">
      <c r="A964" s="147" t="s">
        <v>546</v>
      </c>
      <c r="B964" s="155">
        <v>25.883800000000001</v>
      </c>
      <c r="C964" s="155">
        <v>19.094760000000001</v>
      </c>
      <c r="D964" s="155">
        <v>15.56725</v>
      </c>
      <c r="E964" s="155">
        <v>36.912570000000002</v>
      </c>
      <c r="F964" s="155">
        <v>17.292179999999998</v>
      </c>
      <c r="G964" s="155">
        <v>5.7585600000000001</v>
      </c>
    </row>
    <row r="965" spans="1:7" x14ac:dyDescent="0.25">
      <c r="A965" s="147" t="s">
        <v>547</v>
      </c>
      <c r="B965" s="155">
        <v>22.08052</v>
      </c>
      <c r="C965" s="155">
        <v>40.886119999999998</v>
      </c>
      <c r="D965" s="155">
        <v>26.323239999999998</v>
      </c>
      <c r="E965" s="155">
        <v>13.836690000000001</v>
      </c>
      <c r="F965" s="155">
        <v>19.265979999999999</v>
      </c>
      <c r="G965" s="155">
        <v>48.460479999999997</v>
      </c>
    </row>
    <row r="966" spans="1:7" x14ac:dyDescent="0.25">
      <c r="A966" s="147" t="s">
        <v>548</v>
      </c>
      <c r="B966" s="155">
        <v>2.8E-3</v>
      </c>
      <c r="C966" s="155">
        <v>3.3799999999999997E-2</v>
      </c>
      <c r="D966" s="155">
        <v>5.3600000000000002E-2</v>
      </c>
      <c r="E966" s="155">
        <v>6.5780000000000005E-2</v>
      </c>
      <c r="F966" s="155">
        <v>4.3720000000000002E-2</v>
      </c>
      <c r="G966" s="155">
        <v>5.9150000000000001E-2</v>
      </c>
    </row>
    <row r="967" spans="1:7" x14ac:dyDescent="0.25">
      <c r="A967" s="147" t="s">
        <v>549</v>
      </c>
      <c r="B967" s="155">
        <v>208.59325999999999</v>
      </c>
      <c r="C967" s="155"/>
      <c r="D967" s="155">
        <v>175.95850999999999</v>
      </c>
      <c r="E967" s="155">
        <v>198.96861000000001</v>
      </c>
      <c r="F967" s="155">
        <v>196.95108999999999</v>
      </c>
      <c r="G967" s="155">
        <v>154.19002</v>
      </c>
    </row>
    <row r="968" spans="1:7" x14ac:dyDescent="0.25">
      <c r="A968" s="147" t="s">
        <v>550</v>
      </c>
      <c r="B968" s="163">
        <v>12.43</v>
      </c>
      <c r="C968" s="163">
        <v>17.02</v>
      </c>
      <c r="D968" s="163">
        <v>21.98</v>
      </c>
      <c r="E968" s="163">
        <v>24.22</v>
      </c>
      <c r="F968" s="163">
        <v>26.89</v>
      </c>
      <c r="G968" s="163">
        <v>31.25</v>
      </c>
    </row>
    <row r="969" spans="1:7" x14ac:dyDescent="0.25">
      <c r="A969" s="147" t="s">
        <v>551</v>
      </c>
      <c r="B969" s="163">
        <v>32.07</v>
      </c>
      <c r="C969" s="163">
        <v>43.23</v>
      </c>
      <c r="D969" s="163">
        <v>55.41</v>
      </c>
      <c r="E969" s="163">
        <v>26.79</v>
      </c>
      <c r="F969" s="163">
        <v>37.25</v>
      </c>
      <c r="G969" s="163">
        <v>62.09</v>
      </c>
    </row>
    <row r="970" spans="1:7" x14ac:dyDescent="0.25">
      <c r="A970" s="147"/>
      <c r="B970" s="147"/>
      <c r="C970" s="147"/>
      <c r="D970" s="147"/>
      <c r="E970" s="147"/>
      <c r="F970" s="147"/>
      <c r="G970" s="147"/>
    </row>
    <row r="971" spans="1:7" x14ac:dyDescent="0.25">
      <c r="A971" s="154" t="s">
        <v>552</v>
      </c>
      <c r="B971" s="147"/>
      <c r="C971" s="147"/>
      <c r="D971" s="147"/>
      <c r="E971" s="147"/>
      <c r="F971" s="147"/>
      <c r="G971" s="147"/>
    </row>
    <row r="972" spans="1:7" x14ac:dyDescent="0.25">
      <c r="A972" s="147" t="s">
        <v>545</v>
      </c>
      <c r="B972" s="155">
        <v>204.79277999999999</v>
      </c>
      <c r="C972" s="155">
        <v>208.59325999999999</v>
      </c>
      <c r="D972" s="155">
        <v>186.7681</v>
      </c>
      <c r="E972" s="155">
        <v>175.95850999999999</v>
      </c>
      <c r="F972" s="155">
        <v>198.96861000000001</v>
      </c>
      <c r="G972" s="155">
        <v>196.95108999999999</v>
      </c>
    </row>
    <row r="973" spans="1:7" x14ac:dyDescent="0.25">
      <c r="A973" s="147" t="s">
        <v>546</v>
      </c>
      <c r="B973" s="155">
        <v>25.883800000000001</v>
      </c>
      <c r="C973" s="155">
        <v>19.094760000000001</v>
      </c>
      <c r="D973" s="155">
        <v>15.56725</v>
      </c>
      <c r="E973" s="155">
        <v>36.912570000000002</v>
      </c>
      <c r="F973" s="155">
        <v>17.292179999999998</v>
      </c>
      <c r="G973" s="155">
        <v>5.7585600000000001</v>
      </c>
    </row>
    <row r="974" spans="1:7" x14ac:dyDescent="0.25">
      <c r="A974" s="147" t="s">
        <v>547</v>
      </c>
      <c r="B974" s="155">
        <v>22.08052</v>
      </c>
      <c r="C974" s="155">
        <v>40.886119999999998</v>
      </c>
      <c r="D974" s="155">
        <v>26.323239999999998</v>
      </c>
      <c r="E974" s="155">
        <v>13.836690000000001</v>
      </c>
      <c r="F974" s="155">
        <v>19.265979999999999</v>
      </c>
      <c r="G974" s="155">
        <v>48.460479999999997</v>
      </c>
    </row>
    <row r="975" spans="1:7" x14ac:dyDescent="0.25">
      <c r="A975" s="147" t="s">
        <v>548</v>
      </c>
      <c r="B975" s="155">
        <v>2.8E-3</v>
      </c>
      <c r="C975" s="155">
        <v>3.3799999999999997E-2</v>
      </c>
      <c r="D975" s="155">
        <v>5.3600000000000002E-2</v>
      </c>
      <c r="E975" s="155">
        <v>6.5780000000000005E-2</v>
      </c>
      <c r="F975" s="155">
        <v>4.3720000000000002E-2</v>
      </c>
      <c r="G975" s="155">
        <v>5.9150000000000001E-2</v>
      </c>
    </row>
    <row r="976" spans="1:7" x14ac:dyDescent="0.25">
      <c r="A976" s="147" t="s">
        <v>549</v>
      </c>
      <c r="B976" s="155">
        <v>208.59325999999999</v>
      </c>
      <c r="C976" s="155">
        <v>186.7681</v>
      </c>
      <c r="D976" s="155">
        <v>175.95850999999999</v>
      </c>
      <c r="E976" s="155">
        <v>198.96861000000001</v>
      </c>
      <c r="F976" s="155">
        <v>196.95108999999999</v>
      </c>
      <c r="G976" s="155">
        <v>154.19002</v>
      </c>
    </row>
    <row r="977" spans="1:7" x14ac:dyDescent="0.25">
      <c r="A977" s="147"/>
      <c r="B977" s="147"/>
      <c r="C977" s="147"/>
      <c r="D977" s="147"/>
      <c r="E977" s="147"/>
      <c r="F977" s="147"/>
      <c r="G977" s="147"/>
    </row>
    <row r="978" spans="1:7" x14ac:dyDescent="0.25">
      <c r="A978" s="154" t="s">
        <v>553</v>
      </c>
      <c r="B978" s="147"/>
      <c r="C978" s="147"/>
      <c r="D978" s="147"/>
      <c r="E978" s="147"/>
      <c r="F978" s="147"/>
      <c r="G978" s="147"/>
    </row>
    <row r="979" spans="1:7" x14ac:dyDescent="0.25">
      <c r="A979" s="147" t="s">
        <v>554</v>
      </c>
      <c r="B979" s="155">
        <v>405.37599999999998</v>
      </c>
      <c r="C979" s="155">
        <v>415.18</v>
      </c>
      <c r="D979" s="155">
        <v>403.22</v>
      </c>
      <c r="E979" s="155" t="s">
        <v>62</v>
      </c>
      <c r="F979" s="155" t="s">
        <v>62</v>
      </c>
      <c r="G979" s="155" t="s">
        <v>62</v>
      </c>
    </row>
    <row r="980" spans="1:7" x14ac:dyDescent="0.25">
      <c r="A980" s="147" t="s">
        <v>555</v>
      </c>
      <c r="B980" s="155">
        <v>-90.9</v>
      </c>
      <c r="C980" s="155">
        <v>-91.7</v>
      </c>
      <c r="D980" s="155">
        <v>-89.6</v>
      </c>
      <c r="E980" s="155" t="s">
        <v>62</v>
      </c>
      <c r="F980" s="155" t="s">
        <v>62</v>
      </c>
      <c r="G980" s="155" t="s">
        <v>62</v>
      </c>
    </row>
    <row r="981" spans="1:7" x14ac:dyDescent="0.25">
      <c r="A981" s="147" t="s">
        <v>556</v>
      </c>
      <c r="B981" s="155">
        <v>314.52</v>
      </c>
      <c r="C981" s="155">
        <v>323.46199999999999</v>
      </c>
      <c r="D981" s="155">
        <v>313.57799999999997</v>
      </c>
      <c r="E981" s="155" t="s">
        <v>62</v>
      </c>
      <c r="F981" s="155" t="s">
        <v>62</v>
      </c>
      <c r="G981" s="155" t="s">
        <v>62</v>
      </c>
    </row>
    <row r="982" spans="1:7" x14ac:dyDescent="0.25">
      <c r="A982" s="147" t="s">
        <v>557</v>
      </c>
      <c r="B982" s="155">
        <v>405.37599999999998</v>
      </c>
      <c r="C982" s="155">
        <v>415.18</v>
      </c>
      <c r="D982" s="155">
        <v>403.22</v>
      </c>
      <c r="E982" s="155">
        <v>575.452</v>
      </c>
      <c r="F982" s="155">
        <v>339.36799999999999</v>
      </c>
      <c r="G982" s="155">
        <v>272.58800000000002</v>
      </c>
    </row>
    <row r="983" spans="1:7" x14ac:dyDescent="0.25">
      <c r="A983" s="147" t="s">
        <v>558</v>
      </c>
      <c r="B983" s="155">
        <v>-90.9</v>
      </c>
      <c r="C983" s="155">
        <v>-91.7</v>
      </c>
      <c r="D983" s="155">
        <v>-89.6</v>
      </c>
      <c r="E983" s="155">
        <v>-127.3</v>
      </c>
      <c r="F983" s="155">
        <v>-61.6</v>
      </c>
      <c r="G983" s="155">
        <v>-43.9</v>
      </c>
    </row>
    <row r="984" spans="1:7" x14ac:dyDescent="0.25">
      <c r="A984" s="147" t="s">
        <v>559</v>
      </c>
      <c r="B984" s="155">
        <v>314.52</v>
      </c>
      <c r="C984" s="155">
        <v>323.46199999999999</v>
      </c>
      <c r="D984" s="155">
        <v>313.57799999999997</v>
      </c>
      <c r="E984" s="155">
        <v>448.16300000000001</v>
      </c>
      <c r="F984" s="155">
        <v>277.77999999999997</v>
      </c>
      <c r="G984" s="155">
        <v>228.71199999999999</v>
      </c>
    </row>
    <row r="985" spans="1:7" x14ac:dyDescent="0.25">
      <c r="A985" s="147"/>
      <c r="B985" s="147"/>
      <c r="C985" s="147"/>
      <c r="D985" s="147"/>
      <c r="E985" s="147"/>
      <c r="F985" s="147"/>
      <c r="G985" s="147"/>
    </row>
    <row r="986" spans="1:7" x14ac:dyDescent="0.25">
      <c r="A986" s="154" t="s">
        <v>560</v>
      </c>
      <c r="B986" s="147"/>
      <c r="C986" s="147"/>
      <c r="D986" s="147"/>
      <c r="E986" s="147"/>
      <c r="F986" s="147"/>
      <c r="G986" s="147"/>
    </row>
    <row r="987" spans="1:7" x14ac:dyDescent="0.25">
      <c r="A987" s="147" t="s">
        <v>561</v>
      </c>
      <c r="B987" s="155" t="s">
        <v>62</v>
      </c>
      <c r="C987" s="155" t="s">
        <v>62</v>
      </c>
      <c r="D987" s="155" t="s">
        <v>62</v>
      </c>
      <c r="E987" s="155" t="s">
        <v>62</v>
      </c>
      <c r="F987" s="155">
        <v>1259</v>
      </c>
      <c r="G987" s="155">
        <v>1363</v>
      </c>
    </row>
    <row r="988" spans="1:7" x14ac:dyDescent="0.25">
      <c r="A988" s="147" t="s">
        <v>562</v>
      </c>
      <c r="B988" s="155" t="s">
        <v>62</v>
      </c>
      <c r="C988" s="155" t="s">
        <v>62</v>
      </c>
      <c r="D988" s="155" t="s">
        <v>62</v>
      </c>
      <c r="E988" s="155" t="s">
        <v>62</v>
      </c>
      <c r="F988" s="155">
        <v>1259</v>
      </c>
      <c r="G988" s="155">
        <v>1363</v>
      </c>
    </row>
    <row r="989" spans="1:7" x14ac:dyDescent="0.25">
      <c r="A989" s="147"/>
      <c r="B989" s="147"/>
      <c r="C989" s="147"/>
      <c r="D989" s="147"/>
      <c r="E989" s="147"/>
      <c r="F989" s="147"/>
      <c r="G989" s="147"/>
    </row>
    <row r="990" spans="1:7" x14ac:dyDescent="0.25">
      <c r="A990" s="147" t="s">
        <v>563</v>
      </c>
      <c r="B990" s="155">
        <v>389</v>
      </c>
      <c r="C990" s="155">
        <v>317</v>
      </c>
      <c r="D990" s="155">
        <v>274</v>
      </c>
      <c r="E990" s="155">
        <v>504</v>
      </c>
      <c r="F990" s="155">
        <v>19</v>
      </c>
      <c r="G990" s="155">
        <v>41</v>
      </c>
    </row>
    <row r="991" spans="1:7" x14ac:dyDescent="0.25">
      <c r="A991" s="147" t="s">
        <v>564</v>
      </c>
      <c r="B991" s="155">
        <v>256</v>
      </c>
      <c r="C991" s="155">
        <v>365</v>
      </c>
      <c r="D991" s="155">
        <v>456</v>
      </c>
      <c r="E991" s="155" t="s">
        <v>62</v>
      </c>
      <c r="F991" s="155">
        <v>582</v>
      </c>
      <c r="G991" s="155">
        <v>694</v>
      </c>
    </row>
    <row r="992" spans="1:7" x14ac:dyDescent="0.25">
      <c r="A992" s="147" t="s">
        <v>565</v>
      </c>
      <c r="B992" s="155">
        <v>645</v>
      </c>
      <c r="C992" s="155">
        <v>682</v>
      </c>
      <c r="D992" s="155">
        <v>730</v>
      </c>
      <c r="E992" s="155">
        <v>504</v>
      </c>
      <c r="F992" s="155">
        <v>601</v>
      </c>
      <c r="G992" s="155">
        <v>735</v>
      </c>
    </row>
    <row r="993" spans="1:7" x14ac:dyDescent="0.25">
      <c r="A993" s="147"/>
      <c r="B993" s="147"/>
      <c r="C993" s="147"/>
      <c r="D993" s="147"/>
      <c r="E993" s="147"/>
      <c r="F993" s="147"/>
      <c r="G993" s="147"/>
    </row>
    <row r="994" spans="1:7" x14ac:dyDescent="0.25">
      <c r="A994" s="154" t="s">
        <v>566</v>
      </c>
      <c r="B994" s="147"/>
      <c r="C994" s="147"/>
      <c r="D994" s="147"/>
      <c r="E994" s="147"/>
      <c r="F994" s="147"/>
      <c r="G994" s="147"/>
    </row>
    <row r="995" spans="1:7" x14ac:dyDescent="0.25">
      <c r="A995" s="147" t="s">
        <v>567</v>
      </c>
      <c r="B995" s="155" t="s">
        <v>62</v>
      </c>
      <c r="C995" s="155">
        <v>66.768000000000001</v>
      </c>
      <c r="D995" s="155">
        <v>140.124</v>
      </c>
      <c r="E995" s="155">
        <v>202.55699999999999</v>
      </c>
      <c r="F995" s="155">
        <v>226.977</v>
      </c>
      <c r="G995" s="155">
        <v>327.10500000000002</v>
      </c>
    </row>
    <row r="996" spans="1:7" x14ac:dyDescent="0.25">
      <c r="A996" s="147" t="s">
        <v>568</v>
      </c>
      <c r="B996" s="155" t="s">
        <v>62</v>
      </c>
      <c r="C996" s="155">
        <v>65.11</v>
      </c>
      <c r="D996" s="155">
        <v>35.317</v>
      </c>
      <c r="E996" s="155">
        <v>26.864999999999998</v>
      </c>
      <c r="F996" s="155">
        <v>65.63</v>
      </c>
      <c r="G996" s="155">
        <v>93.325000000000003</v>
      </c>
    </row>
    <row r="997" spans="1:7" x14ac:dyDescent="0.25">
      <c r="A997" s="147" t="s">
        <v>569</v>
      </c>
      <c r="B997" s="155" t="s">
        <v>62</v>
      </c>
      <c r="C997" s="155">
        <v>11.943</v>
      </c>
      <c r="D997" s="155">
        <v>27.116</v>
      </c>
      <c r="E997" s="155" t="s">
        <v>62</v>
      </c>
      <c r="F997" s="155">
        <v>76.793999999999997</v>
      </c>
      <c r="G997" s="155">
        <v>15.750999999999999</v>
      </c>
    </row>
    <row r="998" spans="1:7" x14ac:dyDescent="0.25">
      <c r="A998" s="147" t="s">
        <v>570</v>
      </c>
      <c r="B998" s="155" t="s">
        <v>62</v>
      </c>
      <c r="C998" s="155">
        <v>-3.7</v>
      </c>
      <c r="D998" s="155" t="s">
        <v>62</v>
      </c>
      <c r="E998" s="155">
        <v>-2.4</v>
      </c>
      <c r="F998" s="155">
        <v>-10.1</v>
      </c>
      <c r="G998" s="155">
        <v>-3.9</v>
      </c>
    </row>
    <row r="999" spans="1:7" x14ac:dyDescent="0.25">
      <c r="A999" s="147" t="s">
        <v>571</v>
      </c>
      <c r="B999" s="155" t="s">
        <v>62</v>
      </c>
      <c r="C999" s="155" t="s">
        <v>62</v>
      </c>
      <c r="D999" s="155" t="s">
        <v>62</v>
      </c>
      <c r="E999" s="155" t="s">
        <v>62</v>
      </c>
      <c r="F999" s="155">
        <v>-32.200000000000003</v>
      </c>
      <c r="G999" s="155" t="s">
        <v>62</v>
      </c>
    </row>
    <row r="1000" spans="1:7" x14ac:dyDescent="0.25">
      <c r="A1000" s="154" t="s">
        <v>572</v>
      </c>
      <c r="B1000" s="323" t="s">
        <v>62</v>
      </c>
      <c r="C1000" s="323">
        <v>140.124</v>
      </c>
      <c r="D1000" s="323">
        <v>202.55699999999999</v>
      </c>
      <c r="E1000" s="323">
        <v>226.977</v>
      </c>
      <c r="F1000" s="323">
        <v>327.10500000000002</v>
      </c>
      <c r="G1000" s="323">
        <v>432.28</v>
      </c>
    </row>
    <row r="1001" spans="1:7" x14ac:dyDescent="0.25">
      <c r="A1001" s="147"/>
      <c r="B1001" s="147"/>
      <c r="C1001" s="147"/>
      <c r="D1001" s="147"/>
      <c r="E1001" s="147"/>
      <c r="F1001" s="147"/>
      <c r="G1001" s="147"/>
    </row>
    <row r="1002" spans="1:7" x14ac:dyDescent="0.25">
      <c r="A1002" s="147" t="s">
        <v>573</v>
      </c>
      <c r="B1002" s="155" t="s">
        <v>62</v>
      </c>
      <c r="C1002" s="155" t="s">
        <v>62</v>
      </c>
      <c r="D1002" s="155" t="s">
        <v>62</v>
      </c>
      <c r="E1002" s="155">
        <v>2</v>
      </c>
      <c r="F1002" s="155">
        <v>25</v>
      </c>
      <c r="G1002" s="155">
        <v>16</v>
      </c>
    </row>
    <row r="1003" spans="1:7" x14ac:dyDescent="0.25">
      <c r="A1003" s="147" t="s">
        <v>574</v>
      </c>
      <c r="B1003" s="155" t="s">
        <v>62</v>
      </c>
      <c r="C1003" s="155" t="s">
        <v>62</v>
      </c>
      <c r="D1003" s="155" t="s">
        <v>62</v>
      </c>
      <c r="E1003" s="155" t="s">
        <v>62</v>
      </c>
      <c r="F1003" s="155">
        <v>28</v>
      </c>
      <c r="G1003" s="155">
        <v>44</v>
      </c>
    </row>
    <row r="1004" spans="1:7" x14ac:dyDescent="0.25">
      <c r="A1004" s="147"/>
      <c r="B1004" s="147"/>
      <c r="C1004" s="147"/>
      <c r="D1004" s="147"/>
      <c r="E1004" s="147"/>
      <c r="F1004" s="147"/>
      <c r="G1004" s="147"/>
    </row>
    <row r="1005" spans="1:7" x14ac:dyDescent="0.25">
      <c r="A1005" s="147" t="s">
        <v>575</v>
      </c>
      <c r="B1005" s="155" t="s">
        <v>62</v>
      </c>
      <c r="C1005" s="155">
        <v>86</v>
      </c>
      <c r="D1005" s="155" t="s">
        <v>62</v>
      </c>
      <c r="E1005" s="155" t="s">
        <v>62</v>
      </c>
      <c r="F1005" s="155">
        <v>188</v>
      </c>
      <c r="G1005" s="155">
        <v>251</v>
      </c>
    </row>
    <row r="1006" spans="1:7" x14ac:dyDescent="0.25">
      <c r="A1006" s="147"/>
      <c r="B1006" s="147"/>
      <c r="C1006" s="147"/>
      <c r="D1006" s="147"/>
      <c r="E1006" s="147"/>
      <c r="F1006" s="147"/>
      <c r="G1006" s="147"/>
    </row>
    <row r="1007" spans="1:7" x14ac:dyDescent="0.25">
      <c r="A1007" s="154" t="s">
        <v>576</v>
      </c>
      <c r="B1007" s="147"/>
      <c r="C1007" s="147"/>
      <c r="D1007" s="147"/>
      <c r="E1007" s="147"/>
      <c r="F1007" s="147"/>
      <c r="G1007" s="147"/>
    </row>
    <row r="1008" spans="1:7" x14ac:dyDescent="0.25">
      <c r="A1008" s="147" t="s">
        <v>577</v>
      </c>
      <c r="B1008" s="155">
        <v>1616.2370000000001</v>
      </c>
      <c r="C1008" s="155">
        <v>4573.9430000000002</v>
      </c>
      <c r="D1008" s="155">
        <v>1924.337</v>
      </c>
      <c r="E1008" s="155">
        <v>569.94799999999998</v>
      </c>
      <c r="F1008" s="155">
        <v>925.70699999999999</v>
      </c>
      <c r="G1008" s="155">
        <v>2676.3139999999999</v>
      </c>
    </row>
    <row r="1009" spans="1:9" x14ac:dyDescent="0.25">
      <c r="A1009" s="147" t="s">
        <v>578</v>
      </c>
      <c r="B1009" s="155">
        <v>300</v>
      </c>
      <c r="C1009" s="155">
        <v>300</v>
      </c>
      <c r="D1009" s="155" t="s">
        <v>62</v>
      </c>
      <c r="E1009" s="155">
        <v>1417.0419999999999</v>
      </c>
      <c r="F1009" s="155">
        <v>256.53899999999999</v>
      </c>
      <c r="G1009" s="155">
        <v>3046.2289999999998</v>
      </c>
    </row>
    <row r="1010" spans="1:9" x14ac:dyDescent="0.25">
      <c r="A1010" s="147" t="s">
        <v>579</v>
      </c>
      <c r="B1010" s="155">
        <v>1916.2370000000001</v>
      </c>
      <c r="C1010" s="155">
        <v>4873.9430000000002</v>
      </c>
      <c r="D1010" s="155">
        <v>1924.337</v>
      </c>
      <c r="E1010" s="155">
        <v>1986.99</v>
      </c>
      <c r="F1010" s="155">
        <v>1182.2460000000001</v>
      </c>
      <c r="G1010" s="155">
        <v>5722.5429999999997</v>
      </c>
    </row>
    <row r="1011" spans="1:9" x14ac:dyDescent="0.25">
      <c r="A1011" s="147"/>
      <c r="B1011" s="147"/>
      <c r="C1011" s="147"/>
      <c r="D1011" s="147"/>
      <c r="E1011" s="147"/>
      <c r="F1011" s="147"/>
      <c r="G1011" s="147"/>
    </row>
    <row r="1012" spans="1:9" x14ac:dyDescent="0.25">
      <c r="A1012" s="147" t="s">
        <v>580</v>
      </c>
      <c r="B1012" s="155">
        <v>15949</v>
      </c>
      <c r="C1012" s="155">
        <v>18805</v>
      </c>
      <c r="D1012" s="155">
        <v>18030</v>
      </c>
      <c r="E1012" s="155">
        <v>14083</v>
      </c>
      <c r="F1012" s="155">
        <v>15204.664000000001</v>
      </c>
      <c r="G1012" s="155">
        <v>16266</v>
      </c>
    </row>
    <row r="1013" spans="1:9" x14ac:dyDescent="0.25">
      <c r="A1013" s="147" t="s">
        <v>581</v>
      </c>
      <c r="B1013" s="155">
        <v>15949</v>
      </c>
      <c r="C1013" s="155">
        <v>18805</v>
      </c>
      <c r="D1013" s="155">
        <v>18030</v>
      </c>
      <c r="E1013" s="155">
        <v>14083</v>
      </c>
      <c r="F1013" s="155">
        <v>15204.664000000001</v>
      </c>
      <c r="G1013" s="155">
        <v>16266</v>
      </c>
    </row>
    <row r="1014" spans="1:9" x14ac:dyDescent="0.25">
      <c r="A1014" s="147"/>
      <c r="B1014" s="147"/>
      <c r="C1014" s="147"/>
      <c r="D1014" s="147"/>
      <c r="E1014" s="147"/>
      <c r="F1014" s="147"/>
      <c r="G1014" s="147"/>
    </row>
    <row r="1015" spans="1:9" x14ac:dyDescent="0.25">
      <c r="A1015" s="147"/>
      <c r="B1015" s="147" t="s">
        <v>155</v>
      </c>
      <c r="C1015" s="147" t="s">
        <v>155</v>
      </c>
      <c r="D1015" s="147" t="s">
        <v>155</v>
      </c>
      <c r="E1015" s="147" t="s">
        <v>155</v>
      </c>
      <c r="F1015" s="147" t="s">
        <v>155</v>
      </c>
      <c r="G1015" s="147" t="s">
        <v>155</v>
      </c>
    </row>
    <row r="1016" spans="1:9" x14ac:dyDescent="0.25">
      <c r="A1016" s="147" t="s">
        <v>108</v>
      </c>
      <c r="B1016" s="157">
        <v>44588</v>
      </c>
      <c r="C1016" s="157">
        <v>44588</v>
      </c>
      <c r="D1016" s="157">
        <v>45317</v>
      </c>
      <c r="E1016" s="157">
        <v>45684</v>
      </c>
      <c r="F1016" s="157">
        <v>45684</v>
      </c>
      <c r="G1016" s="157">
        <v>45684</v>
      </c>
    </row>
    <row r="1020" spans="1:9" x14ac:dyDescent="0.25">
      <c r="A1020" s="193"/>
      <c r="B1020" s="193"/>
      <c r="C1020" s="193"/>
      <c r="D1020" s="193"/>
      <c r="E1020" s="193"/>
      <c r="F1020" s="193"/>
      <c r="G1020" s="193"/>
      <c r="H1020" s="193"/>
      <c r="I1020" s="193"/>
    </row>
    <row r="1021" spans="1:9" x14ac:dyDescent="0.25">
      <c r="A1021" s="193"/>
      <c r="B1021" s="193"/>
      <c r="C1021" s="193"/>
      <c r="D1021" s="193"/>
      <c r="E1021" s="193"/>
      <c r="F1021" s="193"/>
      <c r="G1021" s="193"/>
      <c r="H1021" s="193"/>
      <c r="I1021" s="193"/>
    </row>
    <row r="1022" spans="1:9" x14ac:dyDescent="0.25">
      <c r="A1022" s="193"/>
      <c r="B1022" s="193"/>
      <c r="C1022" s="193"/>
      <c r="D1022" s="193"/>
      <c r="E1022" s="193"/>
      <c r="F1022" s="193"/>
      <c r="G1022" s="193"/>
      <c r="H1022" s="193"/>
      <c r="I1022" s="193"/>
    </row>
    <row r="1023" spans="1:9" x14ac:dyDescent="0.25">
      <c r="A1023" s="208" t="s">
        <v>582</v>
      </c>
      <c r="B1023" s="193"/>
      <c r="C1023" s="193"/>
      <c r="D1023" s="193"/>
      <c r="E1023" s="193"/>
      <c r="F1023" s="193"/>
      <c r="G1023" s="193"/>
      <c r="H1023" s="193"/>
      <c r="I1023" s="193"/>
    </row>
    <row r="1024" spans="1:9" x14ac:dyDescent="0.25">
      <c r="A1024" s="193"/>
      <c r="B1024" s="193"/>
      <c r="C1024" s="193"/>
      <c r="D1024" s="193"/>
      <c r="E1024" s="193"/>
      <c r="F1024" s="193"/>
      <c r="G1024" s="193"/>
      <c r="H1024" s="193"/>
      <c r="I1024" s="193"/>
    </row>
    <row r="1025" spans="1:9" x14ac:dyDescent="0.25">
      <c r="A1025" s="193"/>
      <c r="B1025" s="193"/>
      <c r="C1025" s="193"/>
      <c r="D1025" s="193"/>
      <c r="E1025" s="193"/>
      <c r="F1025" s="193"/>
      <c r="G1025" s="193"/>
      <c r="H1025" s="193"/>
      <c r="I1025" s="193"/>
    </row>
    <row r="1026" spans="1:9" x14ac:dyDescent="0.25">
      <c r="A1026" s="191" t="s">
        <v>583</v>
      </c>
      <c r="B1026" s="191"/>
      <c r="C1026" s="191"/>
      <c r="D1026" s="191"/>
      <c r="E1026" s="191"/>
      <c r="F1026" s="191"/>
      <c r="G1026" s="191"/>
      <c r="H1026" s="191"/>
      <c r="I1026" s="191"/>
    </row>
    <row r="1027" spans="1:9" x14ac:dyDescent="0.25">
      <c r="A1027" s="133" t="s">
        <v>165</v>
      </c>
      <c r="B1027" s="192" t="s">
        <v>584</v>
      </c>
      <c r="C1027" s="193"/>
      <c r="D1027" s="193"/>
      <c r="E1027" s="193"/>
      <c r="F1027" s="193"/>
      <c r="G1027" s="193"/>
      <c r="H1027" s="193"/>
      <c r="I1027" s="193"/>
    </row>
    <row r="1028" spans="1:9" x14ac:dyDescent="0.25">
      <c r="A1028" s="133" t="s">
        <v>120</v>
      </c>
      <c r="B1028" s="192" t="s">
        <v>585</v>
      </c>
      <c r="C1028" s="193"/>
      <c r="D1028" s="193"/>
      <c r="E1028" s="193"/>
      <c r="F1028" s="193"/>
      <c r="G1028" s="193"/>
      <c r="H1028" s="193"/>
      <c r="I1028" s="193"/>
    </row>
    <row r="1029" spans="1:9" x14ac:dyDescent="0.25">
      <c r="A1029" s="133" t="s">
        <v>586</v>
      </c>
      <c r="B1029" s="194">
        <v>45997</v>
      </c>
      <c r="C1029" s="193"/>
      <c r="D1029" s="193"/>
      <c r="E1029" s="193"/>
      <c r="F1029" s="193"/>
      <c r="G1029" s="193"/>
      <c r="H1029" s="193"/>
      <c r="I1029" s="193"/>
    </row>
    <row r="1030" spans="1:9" x14ac:dyDescent="0.25">
      <c r="A1030" s="195"/>
      <c r="B1030" s="193"/>
      <c r="C1030" s="193"/>
      <c r="D1030" s="193"/>
      <c r="E1030" s="193"/>
      <c r="F1030" s="193"/>
      <c r="G1030" s="193"/>
      <c r="H1030" s="193"/>
      <c r="I1030" s="193"/>
    </row>
    <row r="1031" spans="1:9" x14ac:dyDescent="0.25">
      <c r="A1031" s="193"/>
      <c r="B1031" s="193"/>
      <c r="C1031" s="193"/>
      <c r="D1031" s="193"/>
      <c r="E1031" s="193"/>
      <c r="F1031" s="193"/>
      <c r="G1031" s="193"/>
      <c r="H1031" s="193"/>
      <c r="I1031" s="193"/>
    </row>
    <row r="1032" spans="1:9" x14ac:dyDescent="0.25">
      <c r="A1032" s="191" t="s">
        <v>587</v>
      </c>
      <c r="B1032" s="191"/>
      <c r="C1032" s="191"/>
      <c r="D1032" s="191"/>
      <c r="E1032" s="191"/>
      <c r="F1032" s="191"/>
      <c r="G1032" s="191"/>
      <c r="H1032" s="191"/>
      <c r="I1032" s="191"/>
    </row>
    <row r="1033" spans="1:9" ht="47.25" x14ac:dyDescent="0.25">
      <c r="A1033" s="196" t="s">
        <v>588</v>
      </c>
      <c r="B1033" s="197" t="s">
        <v>589</v>
      </c>
      <c r="C1033" s="197" t="s">
        <v>590</v>
      </c>
      <c r="D1033" s="197" t="s">
        <v>591</v>
      </c>
      <c r="E1033" s="197" t="s">
        <v>592</v>
      </c>
      <c r="F1033" s="197" t="s">
        <v>593</v>
      </c>
      <c r="G1033" s="197" t="s">
        <v>24</v>
      </c>
      <c r="H1033" s="197" t="s">
        <v>25</v>
      </c>
      <c r="I1033" s="197" t="s">
        <v>26</v>
      </c>
    </row>
    <row r="1034" spans="1:9" x14ac:dyDescent="0.25">
      <c r="A1034" s="196" t="s">
        <v>594</v>
      </c>
      <c r="B1034" s="198">
        <v>2.5</v>
      </c>
      <c r="C1034" s="198">
        <v>11.6</v>
      </c>
      <c r="D1034" s="198">
        <v>55</v>
      </c>
      <c r="E1034" s="198">
        <v>134.30000000000001</v>
      </c>
      <c r="F1034" s="199" t="s">
        <v>359</v>
      </c>
      <c r="G1034" s="200">
        <v>2.57</v>
      </c>
      <c r="H1034" s="200">
        <v>10.85</v>
      </c>
      <c r="I1034" s="199" t="s">
        <v>359</v>
      </c>
    </row>
    <row r="1035" spans="1:9" x14ac:dyDescent="0.25">
      <c r="A1035" s="196" t="s">
        <v>595</v>
      </c>
      <c r="B1035" s="198">
        <v>5.6</v>
      </c>
      <c r="C1035" s="198">
        <v>45.2</v>
      </c>
      <c r="D1035" s="198">
        <v>46.6</v>
      </c>
      <c r="E1035" s="198">
        <v>72.099999999999994</v>
      </c>
      <c r="F1035" s="198">
        <v>14.9</v>
      </c>
      <c r="G1035" s="200">
        <v>5</v>
      </c>
      <c r="H1035" s="200">
        <v>33.26</v>
      </c>
      <c r="I1035" s="200">
        <v>43.67</v>
      </c>
    </row>
    <row r="1036" spans="1:9" x14ac:dyDescent="0.25">
      <c r="A1036" s="196" t="s">
        <v>596</v>
      </c>
      <c r="B1036" s="198">
        <v>2.9</v>
      </c>
      <c r="C1036" s="198">
        <v>52</v>
      </c>
      <c r="D1036" s="199" t="s">
        <v>359</v>
      </c>
      <c r="E1036" s="199" t="s">
        <v>359</v>
      </c>
      <c r="F1036" s="198">
        <v>7.1</v>
      </c>
      <c r="G1036" s="200">
        <v>2.5299999999999998</v>
      </c>
      <c r="H1036" s="200">
        <v>25.36</v>
      </c>
      <c r="I1036" s="200" t="s">
        <v>359</v>
      </c>
    </row>
    <row r="1037" spans="1:9" x14ac:dyDescent="0.25">
      <c r="A1037" s="196" t="s">
        <v>597</v>
      </c>
      <c r="B1037" s="198">
        <v>2.5</v>
      </c>
      <c r="C1037" s="198">
        <v>11.1</v>
      </c>
      <c r="D1037" s="198">
        <v>16.2</v>
      </c>
      <c r="E1037" s="198">
        <v>15.4</v>
      </c>
      <c r="F1037" s="198">
        <v>6.9</v>
      </c>
      <c r="G1037" s="200">
        <v>2.31</v>
      </c>
      <c r="H1037" s="200">
        <v>10.72</v>
      </c>
      <c r="I1037" s="200">
        <v>15.94</v>
      </c>
    </row>
    <row r="1038" spans="1:9" x14ac:dyDescent="0.25">
      <c r="A1038" s="196" t="s">
        <v>598</v>
      </c>
      <c r="B1038" s="198">
        <v>1</v>
      </c>
      <c r="C1038" s="198">
        <v>11.4</v>
      </c>
      <c r="D1038" s="198">
        <v>14.6</v>
      </c>
      <c r="E1038" s="199" t="s">
        <v>359</v>
      </c>
      <c r="F1038" s="198">
        <v>3.3</v>
      </c>
      <c r="G1038" s="200">
        <v>0.92</v>
      </c>
      <c r="H1038" s="200">
        <v>8.14</v>
      </c>
      <c r="I1038" s="200">
        <v>16.850000000000001</v>
      </c>
    </row>
    <row r="1039" spans="1:9" x14ac:dyDescent="0.25">
      <c r="A1039" s="196" t="s">
        <v>599</v>
      </c>
      <c r="B1039" s="198">
        <v>3.6</v>
      </c>
      <c r="C1039" s="198">
        <v>30.3</v>
      </c>
      <c r="D1039" s="199" t="s">
        <v>359</v>
      </c>
      <c r="E1039" s="199" t="s">
        <v>359</v>
      </c>
      <c r="F1039" s="198">
        <v>13.7</v>
      </c>
      <c r="G1039" s="200">
        <v>3.24</v>
      </c>
      <c r="H1039" s="200">
        <v>21.8</v>
      </c>
      <c r="I1039" s="200" t="s">
        <v>359</v>
      </c>
    </row>
    <row r="1040" spans="1:9" x14ac:dyDescent="0.25">
      <c r="A1040" s="196" t="s">
        <v>600</v>
      </c>
      <c r="B1040" s="198">
        <v>1.5</v>
      </c>
      <c r="C1040" s="198">
        <v>13.8</v>
      </c>
      <c r="D1040" s="198">
        <v>23.4</v>
      </c>
      <c r="E1040" s="198">
        <v>101.1</v>
      </c>
      <c r="F1040" s="199" t="s">
        <v>359</v>
      </c>
      <c r="G1040" s="200">
        <v>1.36</v>
      </c>
      <c r="H1040" s="200">
        <v>13.92</v>
      </c>
      <c r="I1040" s="200">
        <v>64.19</v>
      </c>
    </row>
    <row r="1041" spans="1:9" x14ac:dyDescent="0.25">
      <c r="A1041" s="196" t="s">
        <v>601</v>
      </c>
      <c r="B1041" s="199" t="s">
        <v>62</v>
      </c>
      <c r="C1041" s="199" t="s">
        <v>62</v>
      </c>
      <c r="D1041" s="199" t="s">
        <v>62</v>
      </c>
      <c r="E1041" s="199" t="s">
        <v>62</v>
      </c>
      <c r="F1041" s="199" t="s">
        <v>62</v>
      </c>
      <c r="G1041" s="199" t="s">
        <v>62</v>
      </c>
      <c r="H1041" s="199" t="s">
        <v>62</v>
      </c>
      <c r="I1041" s="199" t="s">
        <v>62</v>
      </c>
    </row>
    <row r="1042" spans="1:9" x14ac:dyDescent="0.25">
      <c r="A1042" s="196" t="s">
        <v>602</v>
      </c>
      <c r="B1042" s="198">
        <v>0.7</v>
      </c>
      <c r="C1042" s="198">
        <v>5.5</v>
      </c>
      <c r="D1042" s="199" t="s">
        <v>359</v>
      </c>
      <c r="E1042" s="199" t="s">
        <v>359</v>
      </c>
      <c r="F1042" s="199" t="s">
        <v>359</v>
      </c>
      <c r="G1042" s="200">
        <v>0.7</v>
      </c>
      <c r="H1042" s="200">
        <v>4.71</v>
      </c>
      <c r="I1042" s="199" t="s">
        <v>359</v>
      </c>
    </row>
    <row r="1043" spans="1:9" x14ac:dyDescent="0.25">
      <c r="A1043" s="196" t="s">
        <v>603</v>
      </c>
      <c r="B1043" s="198">
        <v>9.9</v>
      </c>
      <c r="C1043" s="198">
        <v>25.4</v>
      </c>
      <c r="D1043" s="198">
        <v>30.3</v>
      </c>
      <c r="E1043" s="198">
        <v>31.7</v>
      </c>
      <c r="F1043" s="198">
        <v>11</v>
      </c>
      <c r="G1043" s="200">
        <v>8.7100000000000009</v>
      </c>
      <c r="H1043" s="200">
        <v>18.71</v>
      </c>
      <c r="I1043" s="200">
        <v>30.21</v>
      </c>
    </row>
    <row r="1044" spans="1:9" s="203" customFormat="1" x14ac:dyDescent="0.25">
      <c r="A1044" s="201" t="s">
        <v>29</v>
      </c>
      <c r="B1044" s="202">
        <f>AVERAGE(B1034:B1043)</f>
        <v>3.3555555555555561</v>
      </c>
      <c r="C1044" s="202">
        <f t="shared" ref="C1044:I1044" si="54">AVERAGE(C1034:C1043)</f>
        <v>22.922222222222228</v>
      </c>
      <c r="D1044" s="202">
        <f t="shared" si="54"/>
        <v>31.016666666666669</v>
      </c>
      <c r="E1044" s="202">
        <f t="shared" si="54"/>
        <v>70.919999999999987</v>
      </c>
      <c r="F1044" s="202">
        <f t="shared" si="54"/>
        <v>9.4833333333333325</v>
      </c>
      <c r="G1044" s="202">
        <f t="shared" si="54"/>
        <v>3.0377777777777779</v>
      </c>
      <c r="H1044" s="202">
        <f t="shared" si="54"/>
        <v>16.385555555555555</v>
      </c>
      <c r="I1044" s="202">
        <f t="shared" si="54"/>
        <v>34.172000000000004</v>
      </c>
    </row>
    <row r="1045" spans="1:9" x14ac:dyDescent="0.25">
      <c r="A1045" s="204"/>
      <c r="B1045" s="204"/>
      <c r="C1045" s="204"/>
      <c r="D1045" s="204"/>
      <c r="E1045" s="204"/>
      <c r="F1045" s="204"/>
      <c r="G1045" s="204"/>
      <c r="H1045" s="204"/>
      <c r="I1045" s="204"/>
    </row>
    <row r="1046" spans="1:9" x14ac:dyDescent="0.25">
      <c r="A1046" s="205"/>
      <c r="B1046" s="205"/>
      <c r="C1046" s="205"/>
      <c r="D1046" s="205"/>
      <c r="E1046" s="205"/>
      <c r="F1046" s="205"/>
      <c r="G1046" s="205"/>
      <c r="H1046" s="205"/>
      <c r="I1046" s="205"/>
    </row>
    <row r="1047" spans="1:9" x14ac:dyDescent="0.25">
      <c r="A1047" s="196" t="s">
        <v>604</v>
      </c>
      <c r="B1047" s="198">
        <v>10.7</v>
      </c>
      <c r="C1047" s="198">
        <v>34.1</v>
      </c>
      <c r="D1047" s="198">
        <v>36.799999999999997</v>
      </c>
      <c r="E1047" s="198">
        <v>41.9</v>
      </c>
      <c r="F1047" s="198">
        <v>30.8</v>
      </c>
      <c r="G1047" s="200">
        <v>9.39</v>
      </c>
      <c r="H1047" s="200">
        <v>28.14</v>
      </c>
      <c r="I1047" s="200">
        <v>32.590000000000003</v>
      </c>
    </row>
    <row r="1048" spans="1:9" x14ac:dyDescent="0.25">
      <c r="A1048" s="204"/>
      <c r="B1048" s="204"/>
      <c r="C1048" s="204"/>
      <c r="D1048" s="204"/>
      <c r="E1048" s="204"/>
      <c r="F1048" s="204"/>
      <c r="G1048" s="204"/>
      <c r="H1048" s="204"/>
      <c r="I1048" s="204"/>
    </row>
    <row r="1049" spans="1:9" ht="47.25" x14ac:dyDescent="0.25">
      <c r="A1049" s="196" t="s">
        <v>605</v>
      </c>
      <c r="B1049" s="197" t="s">
        <v>589</v>
      </c>
      <c r="C1049" s="197" t="s">
        <v>590</v>
      </c>
      <c r="D1049" s="197" t="s">
        <v>591</v>
      </c>
      <c r="E1049" s="197" t="s">
        <v>592</v>
      </c>
      <c r="F1049" s="197" t="s">
        <v>593</v>
      </c>
      <c r="G1049" s="197" t="s">
        <v>24</v>
      </c>
      <c r="H1049" s="197" t="s">
        <v>25</v>
      </c>
      <c r="I1049" s="197" t="s">
        <v>26</v>
      </c>
    </row>
    <row r="1050" spans="1:9" x14ac:dyDescent="0.25">
      <c r="A1050" s="196" t="s">
        <v>347</v>
      </c>
      <c r="B1050" s="198">
        <v>9.9</v>
      </c>
      <c r="C1050" s="198">
        <v>52</v>
      </c>
      <c r="D1050" s="198">
        <v>55</v>
      </c>
      <c r="E1050" s="198">
        <v>134.30000000000001</v>
      </c>
      <c r="F1050" s="198">
        <v>14.9</v>
      </c>
      <c r="G1050" s="200">
        <v>8.7100000000000009</v>
      </c>
      <c r="H1050" s="200">
        <v>33.26</v>
      </c>
      <c r="I1050" s="200">
        <v>135.74</v>
      </c>
    </row>
    <row r="1051" spans="1:9" x14ac:dyDescent="0.25">
      <c r="A1051" s="196" t="s">
        <v>348</v>
      </c>
      <c r="B1051" s="198">
        <v>0.7</v>
      </c>
      <c r="C1051" s="198">
        <v>5.5</v>
      </c>
      <c r="D1051" s="198">
        <v>14.6</v>
      </c>
      <c r="E1051" s="198">
        <v>15.4</v>
      </c>
      <c r="F1051" s="198">
        <v>3.3</v>
      </c>
      <c r="G1051" s="200">
        <v>0.7</v>
      </c>
      <c r="H1051" s="200">
        <v>4.71</v>
      </c>
      <c r="I1051" s="200">
        <v>15.94</v>
      </c>
    </row>
    <row r="1052" spans="1:9" x14ac:dyDescent="0.25">
      <c r="A1052" s="196" t="s">
        <v>606</v>
      </c>
      <c r="B1052" s="198">
        <v>3.3</v>
      </c>
      <c r="C1052" s="198">
        <v>22.9</v>
      </c>
      <c r="D1052" s="198">
        <v>31</v>
      </c>
      <c r="E1052" s="198">
        <v>70.900000000000006</v>
      </c>
      <c r="F1052" s="198">
        <v>9.5</v>
      </c>
      <c r="G1052" s="200">
        <v>3.04</v>
      </c>
      <c r="H1052" s="200">
        <v>16.39</v>
      </c>
      <c r="I1052" s="200">
        <v>60.8</v>
      </c>
    </row>
    <row r="1053" spans="1:9" x14ac:dyDescent="0.25">
      <c r="A1053" s="196" t="s">
        <v>607</v>
      </c>
      <c r="B1053" s="198">
        <v>2.5</v>
      </c>
      <c r="C1053" s="198">
        <v>13.8</v>
      </c>
      <c r="D1053" s="198">
        <v>26.9</v>
      </c>
      <c r="E1053" s="198">
        <v>72.099999999999994</v>
      </c>
      <c r="F1053" s="198">
        <v>9</v>
      </c>
      <c r="G1053" s="200">
        <v>2.5299999999999998</v>
      </c>
      <c r="H1053" s="200">
        <v>13.92</v>
      </c>
      <c r="I1053" s="200">
        <v>43.67</v>
      </c>
    </row>
    <row r="1057" spans="1:255" s="193" customFormat="1" x14ac:dyDescent="0.25"/>
    <row r="1058" spans="1:255" s="193" customFormat="1" x14ac:dyDescent="0.25"/>
    <row r="1059" spans="1:255" s="193" customFormat="1" x14ac:dyDescent="0.25"/>
    <row r="1060" spans="1:255" s="193" customFormat="1" x14ac:dyDescent="0.25"/>
    <row r="1061" spans="1:255" s="193" customFormat="1" x14ac:dyDescent="0.25">
      <c r="A1061" s="208" t="s">
        <v>608</v>
      </c>
    </row>
    <row r="1062" spans="1:255" s="193" customFormat="1" x14ac:dyDescent="0.25"/>
    <row r="1063" spans="1:255" s="193" customFormat="1" x14ac:dyDescent="0.25">
      <c r="A1063" s="209" t="s">
        <v>364</v>
      </c>
      <c r="B1063" s="133" t="s">
        <v>120</v>
      </c>
      <c r="C1063" s="193" t="s">
        <v>365</v>
      </c>
      <c r="D1063" s="195" t="s">
        <v>113</v>
      </c>
      <c r="E1063" s="133" t="s">
        <v>122</v>
      </c>
      <c r="F1063" s="193" t="s">
        <v>123</v>
      </c>
    </row>
    <row r="1064" spans="1:255" s="193" customFormat="1" x14ac:dyDescent="0.25">
      <c r="A1064" s="195"/>
      <c r="B1064" s="133" t="s">
        <v>118</v>
      </c>
      <c r="C1064" s="193" t="s">
        <v>119</v>
      </c>
      <c r="D1064" s="195" t="s">
        <v>113</v>
      </c>
      <c r="E1064" s="133" t="s">
        <v>124</v>
      </c>
      <c r="F1064" s="193" t="s">
        <v>125</v>
      </c>
    </row>
    <row r="1065" spans="1:255" s="193" customFormat="1" x14ac:dyDescent="0.25">
      <c r="A1065" s="195"/>
      <c r="B1065" s="133" t="s">
        <v>126</v>
      </c>
      <c r="C1065" s="210" t="s">
        <v>127</v>
      </c>
      <c r="D1065" s="195" t="s">
        <v>113</v>
      </c>
      <c r="E1065" s="133" t="s">
        <v>342</v>
      </c>
      <c r="F1065" s="193" t="s">
        <v>343</v>
      </c>
    </row>
    <row r="1066" spans="1:255" s="193" customFormat="1" x14ac:dyDescent="0.25"/>
    <row r="1067" spans="1:255" s="193" customFormat="1" x14ac:dyDescent="0.25"/>
    <row r="1068" spans="1:255" s="193" customFormat="1" x14ac:dyDescent="0.25">
      <c r="A1068" s="191" t="s">
        <v>609</v>
      </c>
      <c r="B1068" s="191"/>
      <c r="C1068" s="191"/>
      <c r="D1068" s="191"/>
      <c r="E1068" s="191"/>
      <c r="F1068" s="191"/>
      <c r="G1068" s="191"/>
      <c r="H1068" s="191"/>
      <c r="I1068" s="191"/>
      <c r="J1068" s="211"/>
      <c r="K1068" s="211"/>
      <c r="L1068" s="211"/>
      <c r="M1068" s="211"/>
      <c r="N1068" s="211"/>
      <c r="O1068" s="211"/>
      <c r="P1068" s="211"/>
      <c r="Q1068" s="211"/>
      <c r="R1068" s="211"/>
      <c r="S1068" s="211"/>
      <c r="T1068" s="211"/>
      <c r="U1068" s="211"/>
      <c r="V1068" s="211"/>
      <c r="W1068" s="211"/>
      <c r="X1068" s="211"/>
      <c r="Y1068" s="211"/>
      <c r="Z1068" s="211"/>
      <c r="AA1068" s="211"/>
      <c r="AB1068" s="211"/>
      <c r="AC1068" s="211"/>
      <c r="AD1068" s="211"/>
      <c r="AE1068" s="211"/>
      <c r="AF1068" s="211"/>
      <c r="AG1068" s="211"/>
      <c r="AH1068" s="211"/>
      <c r="AI1068" s="211"/>
      <c r="AJ1068" s="211"/>
      <c r="AK1068" s="211"/>
      <c r="AL1068" s="211"/>
      <c r="AM1068" s="211"/>
      <c r="AN1068" s="211"/>
      <c r="AO1068" s="211"/>
      <c r="AP1068" s="211"/>
      <c r="AQ1068" s="211"/>
      <c r="AR1068" s="211"/>
      <c r="AS1068" s="211"/>
      <c r="AT1068" s="211"/>
      <c r="AU1068" s="211"/>
      <c r="AV1068" s="211"/>
      <c r="AW1068" s="211"/>
      <c r="AX1068" s="211"/>
      <c r="AY1068" s="211"/>
      <c r="AZ1068" s="211"/>
      <c r="BA1068" s="211"/>
      <c r="BB1068" s="211"/>
      <c r="BC1068" s="211"/>
      <c r="BD1068" s="211"/>
      <c r="BE1068" s="211"/>
      <c r="BF1068" s="211"/>
      <c r="BG1068" s="211"/>
      <c r="BH1068" s="211"/>
      <c r="BI1068" s="211"/>
      <c r="BJ1068" s="211"/>
      <c r="BK1068" s="211"/>
      <c r="BL1068" s="211"/>
      <c r="BM1068" s="211"/>
      <c r="BN1068" s="211"/>
      <c r="BO1068" s="211"/>
      <c r="BP1068" s="211"/>
      <c r="BQ1068" s="211"/>
      <c r="BR1068" s="211"/>
      <c r="BS1068" s="211"/>
      <c r="BT1068" s="211"/>
      <c r="BU1068" s="211"/>
      <c r="BV1068" s="211"/>
      <c r="BW1068" s="211"/>
      <c r="BX1068" s="211"/>
      <c r="BY1068" s="211"/>
      <c r="BZ1068" s="211"/>
      <c r="CA1068" s="211"/>
      <c r="CB1068" s="211"/>
      <c r="CC1068" s="211"/>
      <c r="CD1068" s="211"/>
      <c r="CE1068" s="211"/>
      <c r="CF1068" s="211"/>
      <c r="CG1068" s="211"/>
      <c r="CH1068" s="211"/>
      <c r="CI1068" s="211"/>
      <c r="CJ1068" s="211"/>
      <c r="CK1068" s="211"/>
      <c r="CL1068" s="211"/>
      <c r="CM1068" s="211"/>
      <c r="CN1068" s="211"/>
      <c r="CO1068" s="211"/>
      <c r="CP1068" s="211"/>
      <c r="CQ1068" s="211"/>
      <c r="CR1068" s="211"/>
      <c r="CS1068" s="211"/>
      <c r="CT1068" s="211"/>
      <c r="CU1068" s="211"/>
      <c r="CV1068" s="211"/>
      <c r="CW1068" s="211"/>
      <c r="CX1068" s="211"/>
      <c r="CY1068" s="211"/>
      <c r="CZ1068" s="211"/>
      <c r="DA1068" s="211"/>
      <c r="DB1068" s="211"/>
      <c r="DC1068" s="211"/>
      <c r="DD1068" s="211"/>
      <c r="DE1068" s="211"/>
      <c r="DF1068" s="211"/>
      <c r="DG1068" s="211"/>
      <c r="DH1068" s="211"/>
      <c r="DI1068" s="211"/>
      <c r="DJ1068" s="211"/>
      <c r="DK1068" s="211"/>
      <c r="DL1068" s="211"/>
      <c r="DM1068" s="211"/>
      <c r="DN1068" s="211"/>
      <c r="DO1068" s="211"/>
      <c r="DP1068" s="211"/>
      <c r="DQ1068" s="211"/>
      <c r="DR1068" s="211"/>
      <c r="DS1068" s="211"/>
      <c r="DT1068" s="211"/>
      <c r="DU1068" s="211"/>
      <c r="DV1068" s="211"/>
      <c r="DW1068" s="211"/>
      <c r="DX1068" s="211"/>
      <c r="DY1068" s="211"/>
      <c r="DZ1068" s="211"/>
      <c r="EA1068" s="211"/>
      <c r="EB1068" s="211"/>
      <c r="EC1068" s="211"/>
      <c r="ED1068" s="211"/>
      <c r="EE1068" s="211"/>
      <c r="EF1068" s="211"/>
      <c r="EG1068" s="211"/>
      <c r="EH1068" s="211"/>
      <c r="EI1068" s="211"/>
      <c r="EJ1068" s="211"/>
      <c r="EK1068" s="211"/>
      <c r="EL1068" s="211"/>
      <c r="EM1068" s="211"/>
      <c r="EN1068" s="211"/>
      <c r="EO1068" s="211"/>
      <c r="EP1068" s="211"/>
      <c r="EQ1068" s="211"/>
      <c r="ER1068" s="211"/>
      <c r="ES1068" s="211"/>
      <c r="ET1068" s="211"/>
      <c r="EU1068" s="211"/>
      <c r="EV1068" s="211"/>
      <c r="EW1068" s="211"/>
      <c r="EX1068" s="211"/>
      <c r="EY1068" s="211"/>
      <c r="EZ1068" s="211"/>
      <c r="FA1068" s="211"/>
      <c r="FB1068" s="211"/>
      <c r="FC1068" s="211"/>
      <c r="FD1068" s="211"/>
      <c r="FE1068" s="211"/>
      <c r="FF1068" s="211"/>
      <c r="FG1068" s="211"/>
      <c r="FH1068" s="211"/>
      <c r="FI1068" s="211"/>
      <c r="FJ1068" s="211"/>
      <c r="FK1068" s="211"/>
      <c r="FL1068" s="211"/>
      <c r="FM1068" s="211"/>
      <c r="FN1068" s="211"/>
      <c r="FO1068" s="211"/>
      <c r="FP1068" s="211"/>
      <c r="FQ1068" s="211"/>
      <c r="FR1068" s="211"/>
      <c r="FS1068" s="211"/>
      <c r="FT1068" s="211"/>
      <c r="FU1068" s="211"/>
      <c r="FV1068" s="211"/>
      <c r="FW1068" s="211"/>
      <c r="FX1068" s="211"/>
      <c r="FY1068" s="211"/>
      <c r="FZ1068" s="211"/>
      <c r="GA1068" s="211"/>
      <c r="GB1068" s="211"/>
      <c r="GC1068" s="211"/>
      <c r="GD1068" s="211"/>
      <c r="GE1068" s="211"/>
      <c r="GF1068" s="211"/>
      <c r="GG1068" s="211"/>
      <c r="GH1068" s="211"/>
      <c r="GI1068" s="211"/>
      <c r="GJ1068" s="211"/>
      <c r="GK1068" s="211"/>
      <c r="GL1068" s="211"/>
      <c r="GM1068" s="211"/>
      <c r="GN1068" s="211"/>
      <c r="GO1068" s="211"/>
      <c r="GP1068" s="211"/>
      <c r="GQ1068" s="211"/>
      <c r="GR1068" s="211"/>
      <c r="GS1068" s="211"/>
      <c r="GT1068" s="211"/>
      <c r="GU1068" s="211"/>
      <c r="GV1068" s="211"/>
      <c r="GW1068" s="211"/>
      <c r="GX1068" s="211"/>
      <c r="GY1068" s="211"/>
      <c r="GZ1068" s="211"/>
      <c r="HA1068" s="211"/>
      <c r="HB1068" s="211"/>
      <c r="HC1068" s="211"/>
      <c r="HD1068" s="211"/>
      <c r="HE1068" s="211"/>
      <c r="HF1068" s="211"/>
      <c r="HG1068" s="211"/>
      <c r="HH1068" s="211"/>
      <c r="HI1068" s="211"/>
      <c r="HJ1068" s="211"/>
      <c r="HK1068" s="211"/>
      <c r="HL1068" s="211"/>
      <c r="HM1068" s="211"/>
      <c r="HN1068" s="211"/>
      <c r="HO1068" s="211"/>
      <c r="HP1068" s="211"/>
      <c r="HQ1068" s="211"/>
      <c r="HR1068" s="211"/>
      <c r="HS1068" s="211"/>
      <c r="HT1068" s="211"/>
      <c r="HU1068" s="211"/>
      <c r="HV1068" s="211"/>
      <c r="HW1068" s="211"/>
      <c r="HX1068" s="211"/>
      <c r="HY1068" s="211"/>
      <c r="HZ1068" s="211"/>
      <c r="IA1068" s="211"/>
      <c r="IB1068" s="211"/>
      <c r="IC1068" s="211"/>
      <c r="ID1068" s="211"/>
      <c r="IE1068" s="211"/>
      <c r="IF1068" s="211"/>
      <c r="IG1068" s="211"/>
      <c r="IH1068" s="211"/>
      <c r="II1068" s="211"/>
      <c r="IJ1068" s="211"/>
      <c r="IK1068" s="211"/>
      <c r="IL1068" s="211"/>
      <c r="IM1068" s="211"/>
      <c r="IN1068" s="211"/>
      <c r="IO1068" s="211"/>
      <c r="IP1068" s="211"/>
      <c r="IQ1068" s="211"/>
      <c r="IR1068" s="211"/>
      <c r="IS1068" s="211"/>
      <c r="IT1068" s="211"/>
      <c r="IU1068" s="211"/>
    </row>
    <row r="1069" spans="1:255" s="193" customFormat="1" ht="47.25" x14ac:dyDescent="0.25">
      <c r="A1069" s="212" t="s">
        <v>129</v>
      </c>
      <c r="B1069" s="213" t="s">
        <v>610</v>
      </c>
      <c r="C1069" s="213" t="s">
        <v>611</v>
      </c>
      <c r="D1069" s="213" t="s">
        <v>612</v>
      </c>
      <c r="E1069" s="213" t="s">
        <v>326</v>
      </c>
      <c r="F1069" s="213" t="s">
        <v>613</v>
      </c>
      <c r="G1069" s="213" t="s">
        <v>614</v>
      </c>
      <c r="H1069" s="213" t="s">
        <v>329</v>
      </c>
      <c r="I1069" s="213" t="s">
        <v>330</v>
      </c>
    </row>
    <row r="1070" spans="1:255" s="193" customFormat="1" x14ac:dyDescent="0.25">
      <c r="A1070" s="214" t="s">
        <v>136</v>
      </c>
      <c r="B1070" s="215" t="s">
        <v>137</v>
      </c>
      <c r="C1070" s="215" t="s">
        <v>137</v>
      </c>
      <c r="D1070" s="215" t="s">
        <v>137</v>
      </c>
      <c r="E1070" s="215" t="s">
        <v>137</v>
      </c>
      <c r="F1070" s="215" t="s">
        <v>137</v>
      </c>
      <c r="G1070" s="215" t="s">
        <v>137</v>
      </c>
      <c r="H1070" s="215" t="s">
        <v>137</v>
      </c>
      <c r="I1070" s="215" t="s">
        <v>137</v>
      </c>
    </row>
    <row r="1071" spans="1:255" s="193" customFormat="1" x14ac:dyDescent="0.25">
      <c r="A1071" s="216"/>
      <c r="B1071" s="195"/>
      <c r="C1071" s="195"/>
      <c r="D1071" s="195"/>
      <c r="E1071" s="195"/>
      <c r="F1071" s="195"/>
      <c r="G1071" s="195"/>
      <c r="H1071" s="195"/>
      <c r="I1071" s="195"/>
    </row>
    <row r="1072" spans="1:255" s="193" customFormat="1" x14ac:dyDescent="0.25">
      <c r="A1072" s="216" t="s">
        <v>37</v>
      </c>
      <c r="B1072" s="217">
        <v>29697.844000000001</v>
      </c>
      <c r="C1072" s="217">
        <v>31615.55</v>
      </c>
      <c r="D1072" s="217">
        <v>33723.296999999999</v>
      </c>
      <c r="E1072" s="217">
        <v>39000.966</v>
      </c>
      <c r="F1072" s="217">
        <v>43378.786999999997</v>
      </c>
      <c r="G1072" s="218">
        <v>45087.736290000001</v>
      </c>
      <c r="H1072" s="218">
        <v>50990.924299999999</v>
      </c>
      <c r="I1072" s="218">
        <v>56682.401189999997</v>
      </c>
    </row>
    <row r="1073" spans="1:9" s="193" customFormat="1" x14ac:dyDescent="0.25">
      <c r="A1073" s="219" t="s">
        <v>615</v>
      </c>
      <c r="B1073" s="220">
        <v>0.18810099999999999</v>
      </c>
      <c r="C1073" s="220">
        <v>6.4573000000000005E-2</v>
      </c>
      <c r="D1073" s="220">
        <v>6.6668000000000005E-2</v>
      </c>
      <c r="E1073" s="220">
        <v>0.156499</v>
      </c>
      <c r="F1073" s="220">
        <v>0.154081</v>
      </c>
      <c r="G1073" s="221">
        <v>0.156067167413</v>
      </c>
      <c r="H1073" s="221">
        <v>0.130926688624</v>
      </c>
      <c r="I1073" s="221">
        <v>0.111617448951</v>
      </c>
    </row>
    <row r="1074" spans="1:9" s="193" customFormat="1" x14ac:dyDescent="0.25">
      <c r="A1074" s="195"/>
      <c r="B1074" s="195"/>
      <c r="C1074" s="195"/>
      <c r="D1074" s="195"/>
      <c r="E1074" s="195"/>
      <c r="F1074" s="195"/>
      <c r="G1074" s="195"/>
      <c r="H1074" s="195"/>
      <c r="I1074" s="195"/>
    </row>
    <row r="1075" spans="1:9" s="193" customFormat="1" x14ac:dyDescent="0.25">
      <c r="A1075" s="216" t="s">
        <v>616</v>
      </c>
      <c r="B1075" s="217">
        <v>12365.161</v>
      </c>
      <c r="C1075" s="217">
        <v>12447.264999999999</v>
      </c>
      <c r="D1075" s="217">
        <v>14007.929</v>
      </c>
      <c r="E1075" s="217">
        <v>17962.502</v>
      </c>
      <c r="F1075" s="217">
        <v>20858.715</v>
      </c>
      <c r="G1075" s="217" t="s">
        <v>62</v>
      </c>
      <c r="H1075" s="217" t="s">
        <v>62</v>
      </c>
      <c r="I1075" s="217" t="s">
        <v>62</v>
      </c>
    </row>
    <row r="1076" spans="1:9" s="193" customFormat="1" x14ac:dyDescent="0.25">
      <c r="A1076" s="219" t="s">
        <v>617</v>
      </c>
      <c r="B1076" s="220">
        <v>0.41636499999999999</v>
      </c>
      <c r="C1076" s="220">
        <v>0.39370699999999997</v>
      </c>
      <c r="D1076" s="220">
        <v>0.41537800000000002</v>
      </c>
      <c r="E1076" s="220">
        <v>0.460565</v>
      </c>
      <c r="F1076" s="220">
        <v>0.48085</v>
      </c>
      <c r="G1076" s="221">
        <v>0.4835025</v>
      </c>
      <c r="H1076" s="221">
        <v>0.50652200000000003</v>
      </c>
      <c r="I1076" s="221">
        <v>0.52020290000000002</v>
      </c>
    </row>
    <row r="1077" spans="1:9" s="193" customFormat="1" x14ac:dyDescent="0.25">
      <c r="A1077" s="195"/>
      <c r="B1077" s="195"/>
      <c r="C1077" s="195"/>
      <c r="D1077" s="195"/>
      <c r="E1077" s="195"/>
      <c r="F1077" s="195"/>
      <c r="G1077" s="195"/>
      <c r="H1077" s="195"/>
      <c r="I1077" s="195"/>
    </row>
    <row r="1078" spans="1:9" s="193" customFormat="1" x14ac:dyDescent="0.25">
      <c r="A1078" s="216" t="s">
        <v>212</v>
      </c>
      <c r="B1078" s="217">
        <v>6402.9210000000003</v>
      </c>
      <c r="C1078" s="217">
        <v>5969.5129999999999</v>
      </c>
      <c r="D1078" s="217">
        <v>7310.95</v>
      </c>
      <c r="E1078" s="217">
        <v>10746.528</v>
      </c>
      <c r="F1078" s="217">
        <v>12969.651</v>
      </c>
      <c r="G1078" s="218">
        <v>13970.036469999999</v>
      </c>
      <c r="H1078" s="218">
        <v>17366.118640000001</v>
      </c>
      <c r="I1078" s="218">
        <v>20572.469440000001</v>
      </c>
    </row>
    <row r="1079" spans="1:9" s="193" customFormat="1" x14ac:dyDescent="0.25">
      <c r="A1079" s="219" t="s">
        <v>617</v>
      </c>
      <c r="B1079" s="220">
        <v>0.21560199999999999</v>
      </c>
      <c r="C1079" s="220">
        <v>0.18881500000000001</v>
      </c>
      <c r="D1079" s="220">
        <v>0.21679200000000001</v>
      </c>
      <c r="E1079" s="220">
        <v>0.27554499999999998</v>
      </c>
      <c r="F1079" s="220">
        <v>0.29898599999999997</v>
      </c>
      <c r="G1079" s="221">
        <v>0.30984115902699999</v>
      </c>
      <c r="H1079" s="221">
        <v>0.34057273678400002</v>
      </c>
      <c r="I1079" s="221">
        <v>0.36294280073000001</v>
      </c>
    </row>
    <row r="1080" spans="1:9" s="193" customFormat="1" x14ac:dyDescent="0.25">
      <c r="A1080" s="195"/>
      <c r="B1080" s="195"/>
      <c r="C1080" s="195"/>
      <c r="D1080" s="195"/>
      <c r="E1080" s="195"/>
      <c r="F1080" s="195"/>
      <c r="G1080" s="195"/>
      <c r="H1080" s="195"/>
      <c r="I1080" s="195"/>
    </row>
    <row r="1081" spans="1:9" s="193" customFormat="1" x14ac:dyDescent="0.25">
      <c r="A1081" s="216" t="s">
        <v>214</v>
      </c>
      <c r="B1081" s="217">
        <v>6194.509</v>
      </c>
      <c r="C1081" s="217">
        <v>5632.8310000000001</v>
      </c>
      <c r="D1081" s="217">
        <v>6954.0029999999997</v>
      </c>
      <c r="E1081" s="217">
        <v>10417.614</v>
      </c>
      <c r="F1081" s="217">
        <v>12642.706</v>
      </c>
      <c r="G1081" s="218">
        <v>13306.691500000001</v>
      </c>
      <c r="H1081" s="218">
        <v>16606.65308</v>
      </c>
      <c r="I1081" s="218">
        <v>19701.696520000001</v>
      </c>
    </row>
    <row r="1082" spans="1:9" s="193" customFormat="1" x14ac:dyDescent="0.25">
      <c r="A1082" s="219" t="s">
        <v>617</v>
      </c>
      <c r="B1082" s="220">
        <v>0.20858399999999999</v>
      </c>
      <c r="C1082" s="220">
        <v>0.17816599999999999</v>
      </c>
      <c r="D1082" s="220">
        <v>0.206207</v>
      </c>
      <c r="E1082" s="220">
        <v>0.26711099999999999</v>
      </c>
      <c r="F1082" s="220">
        <v>0.29144900000000001</v>
      </c>
      <c r="G1082" s="221">
        <v>0.29512884422500002</v>
      </c>
      <c r="H1082" s="221">
        <v>0.325678604732</v>
      </c>
      <c r="I1082" s="221">
        <v>0.34758048541300002</v>
      </c>
    </row>
    <row r="1083" spans="1:9" s="193" customFormat="1" x14ac:dyDescent="0.25">
      <c r="A1083" s="195"/>
      <c r="B1083" s="195"/>
      <c r="C1083" s="195"/>
      <c r="D1083" s="195"/>
      <c r="E1083" s="195"/>
      <c r="F1083" s="195"/>
      <c r="G1083" s="195"/>
      <c r="H1083" s="195"/>
      <c r="I1083" s="195"/>
    </row>
    <row r="1084" spans="1:9" s="193" customFormat="1" x14ac:dyDescent="0.25">
      <c r="A1084" s="216" t="s">
        <v>618</v>
      </c>
      <c r="B1084" s="217">
        <v>5116.2280000000001</v>
      </c>
      <c r="C1084" s="217">
        <v>4491.924</v>
      </c>
      <c r="D1084" s="217">
        <v>5407.99</v>
      </c>
      <c r="E1084" s="217">
        <v>8711.6309999999994</v>
      </c>
      <c r="F1084" s="217">
        <v>10431.287</v>
      </c>
      <c r="G1084" s="217" t="s">
        <v>62</v>
      </c>
      <c r="H1084" s="217" t="s">
        <v>62</v>
      </c>
      <c r="I1084" s="217" t="s">
        <v>62</v>
      </c>
    </row>
    <row r="1085" spans="1:9" s="193" customFormat="1" x14ac:dyDescent="0.25">
      <c r="A1085" s="219" t="s">
        <v>617</v>
      </c>
      <c r="B1085" s="220">
        <v>0.17227600000000001</v>
      </c>
      <c r="C1085" s="220">
        <v>0.14207900000000001</v>
      </c>
      <c r="D1085" s="220">
        <v>0.16036300000000001</v>
      </c>
      <c r="E1085" s="220">
        <v>0.22336900000000001</v>
      </c>
      <c r="F1085" s="220">
        <v>0.24046899999999999</v>
      </c>
      <c r="G1085" s="222" t="s">
        <v>62</v>
      </c>
      <c r="H1085" s="222" t="s">
        <v>62</v>
      </c>
      <c r="I1085" s="222" t="s">
        <v>62</v>
      </c>
    </row>
    <row r="1086" spans="1:9" s="193" customFormat="1" x14ac:dyDescent="0.25">
      <c r="A1086" s="195"/>
      <c r="B1086" s="195"/>
      <c r="C1086" s="195"/>
      <c r="D1086" s="195"/>
      <c r="E1086" s="195"/>
      <c r="F1086" s="195"/>
      <c r="G1086" s="195"/>
      <c r="H1086" s="195"/>
      <c r="I1086" s="195"/>
    </row>
    <row r="1087" spans="1:9" s="193" customFormat="1" x14ac:dyDescent="0.25">
      <c r="A1087" s="216" t="s">
        <v>290</v>
      </c>
      <c r="B1087" s="217">
        <v>5116.2280000000001</v>
      </c>
      <c r="C1087" s="217">
        <v>4491.924</v>
      </c>
      <c r="D1087" s="217">
        <v>5407.99</v>
      </c>
      <c r="E1087" s="217">
        <v>8711.6309999999994</v>
      </c>
      <c r="F1087" s="217">
        <v>10431.287</v>
      </c>
      <c r="G1087" s="218">
        <v>11013.723019999999</v>
      </c>
      <c r="H1087" s="218">
        <v>13922.297280000001</v>
      </c>
      <c r="I1087" s="218">
        <v>16644.33135</v>
      </c>
    </row>
    <row r="1088" spans="1:9" s="193" customFormat="1" x14ac:dyDescent="0.25">
      <c r="A1088" s="219" t="s">
        <v>617</v>
      </c>
      <c r="B1088" s="220">
        <v>0.17227600000000001</v>
      </c>
      <c r="C1088" s="220">
        <v>0.14207900000000001</v>
      </c>
      <c r="D1088" s="220">
        <v>0.16036300000000001</v>
      </c>
      <c r="E1088" s="220">
        <v>0.22336900000000001</v>
      </c>
      <c r="F1088" s="220">
        <v>0.24046899999999999</v>
      </c>
      <c r="G1088" s="221">
        <v>0.24427314223900001</v>
      </c>
      <c r="H1088" s="221">
        <v>0.27303480905900002</v>
      </c>
      <c r="I1088" s="221">
        <v>0.29364195941900001</v>
      </c>
    </row>
    <row r="1089" spans="1:255" s="193" customFormat="1" x14ac:dyDescent="0.25">
      <c r="A1089" s="195"/>
      <c r="B1089" s="195"/>
      <c r="C1089" s="195"/>
      <c r="D1089" s="195"/>
      <c r="E1089" s="195"/>
      <c r="F1089" s="195"/>
      <c r="G1089" s="195"/>
      <c r="H1089" s="195"/>
      <c r="I1089" s="195"/>
    </row>
    <row r="1090" spans="1:255" s="193" customFormat="1" x14ac:dyDescent="0.25">
      <c r="A1090" s="216" t="s">
        <v>619</v>
      </c>
      <c r="B1090" s="218">
        <v>1.1240000000000001</v>
      </c>
      <c r="C1090" s="218">
        <v>0.995</v>
      </c>
      <c r="D1090" s="218">
        <v>1.2030000000000001</v>
      </c>
      <c r="E1090" s="218">
        <v>1.9830000000000001</v>
      </c>
      <c r="F1090" s="218">
        <v>2.3927070000000001</v>
      </c>
      <c r="G1090" s="218">
        <v>2.5332599999999998</v>
      </c>
      <c r="H1090" s="218">
        <v>3.2403400000000002</v>
      </c>
      <c r="I1090" s="218">
        <v>3.9348800000000002</v>
      </c>
    </row>
    <row r="1091" spans="1:255" s="193" customFormat="1" x14ac:dyDescent="0.25">
      <c r="A1091" s="219" t="s">
        <v>615</v>
      </c>
      <c r="B1091" s="220">
        <v>0.84868399999999999</v>
      </c>
      <c r="C1091" s="220">
        <v>-0.114769</v>
      </c>
      <c r="D1091" s="220">
        <v>0.20904500000000001</v>
      </c>
      <c r="E1091" s="220">
        <v>0.64837900000000004</v>
      </c>
      <c r="F1091" s="220">
        <v>0.35539100000000001</v>
      </c>
      <c r="G1091" s="221">
        <v>0.27748865355500002</v>
      </c>
      <c r="H1091" s="221">
        <v>0.279118606065</v>
      </c>
      <c r="I1091" s="221">
        <v>0.214341704883</v>
      </c>
    </row>
    <row r="1092" spans="1:255" s="193" customFormat="1" x14ac:dyDescent="0.25">
      <c r="A1092" s="195"/>
      <c r="B1092" s="195"/>
      <c r="C1092" s="195"/>
      <c r="D1092" s="195"/>
      <c r="E1092" s="195"/>
      <c r="F1092" s="195"/>
      <c r="G1092" s="195"/>
      <c r="H1092" s="195"/>
      <c r="I1092" s="195"/>
    </row>
    <row r="1093" spans="1:255" s="193" customFormat="1" x14ac:dyDescent="0.25">
      <c r="A1093" s="195"/>
      <c r="B1093" s="195" t="s">
        <v>155</v>
      </c>
      <c r="C1093" s="195" t="s">
        <v>155</v>
      </c>
      <c r="D1093" s="195" t="s">
        <v>155</v>
      </c>
      <c r="E1093" s="195" t="s">
        <v>155</v>
      </c>
      <c r="F1093" s="195" t="s">
        <v>155</v>
      </c>
      <c r="G1093" s="195" t="s">
        <v>155</v>
      </c>
      <c r="H1093" s="195" t="s">
        <v>155</v>
      </c>
      <c r="I1093" s="195" t="s">
        <v>155</v>
      </c>
    </row>
    <row r="1094" spans="1:255" s="193" customFormat="1" x14ac:dyDescent="0.25">
      <c r="A1094" s="195" t="s">
        <v>136</v>
      </c>
      <c r="B1094" s="223" t="s">
        <v>137</v>
      </c>
      <c r="C1094" s="223" t="s">
        <v>137</v>
      </c>
      <c r="D1094" s="223" t="s">
        <v>137</v>
      </c>
      <c r="E1094" s="223" t="s">
        <v>137</v>
      </c>
      <c r="F1094" s="223" t="s">
        <v>137</v>
      </c>
      <c r="G1094" s="223" t="s">
        <v>137</v>
      </c>
      <c r="H1094" s="223" t="s">
        <v>137</v>
      </c>
      <c r="I1094" s="223" t="s">
        <v>137</v>
      </c>
    </row>
    <row r="1095" spans="1:255" s="193" customFormat="1" x14ac:dyDescent="0.25">
      <c r="A1095" s="195" t="s">
        <v>620</v>
      </c>
      <c r="B1095" s="224">
        <v>1</v>
      </c>
      <c r="C1095" s="224">
        <v>1</v>
      </c>
      <c r="D1095" s="224">
        <v>1</v>
      </c>
      <c r="E1095" s="224">
        <v>1</v>
      </c>
      <c r="F1095" s="224">
        <v>1</v>
      </c>
      <c r="G1095" s="224">
        <v>1</v>
      </c>
      <c r="H1095" s="224">
        <v>1</v>
      </c>
      <c r="I1095" s="224">
        <v>1</v>
      </c>
    </row>
    <row r="1096" spans="1:255" s="193" customFormat="1" x14ac:dyDescent="0.25">
      <c r="A1096" s="195" t="s">
        <v>621</v>
      </c>
      <c r="B1096" s="223" t="s">
        <v>622</v>
      </c>
      <c r="C1096" s="223" t="s">
        <v>622</v>
      </c>
      <c r="D1096" s="223" t="s">
        <v>622</v>
      </c>
      <c r="E1096" s="223" t="s">
        <v>622</v>
      </c>
      <c r="F1096" s="223" t="s">
        <v>622</v>
      </c>
      <c r="G1096" s="223" t="s">
        <v>623</v>
      </c>
      <c r="H1096" s="223" t="s">
        <v>623</v>
      </c>
      <c r="I1096" s="223" t="s">
        <v>623</v>
      </c>
    </row>
    <row r="1097" spans="1:255" s="193" customFormat="1" x14ac:dyDescent="0.25">
      <c r="A1097" s="225"/>
      <c r="B1097" s="225"/>
      <c r="C1097" s="225"/>
      <c r="D1097" s="225"/>
      <c r="E1097" s="225"/>
      <c r="F1097" s="225"/>
      <c r="G1097" s="225"/>
      <c r="H1097" s="225"/>
      <c r="I1097" s="225"/>
    </row>
    <row r="1098" spans="1:255" s="193" customFormat="1" x14ac:dyDescent="0.25">
      <c r="A1098" s="193" t="s">
        <v>624</v>
      </c>
    </row>
    <row r="1099" spans="1:255" s="193" customFormat="1" x14ac:dyDescent="0.25">
      <c r="A1099" s="193" t="s">
        <v>625</v>
      </c>
    </row>
    <row r="1100" spans="1:255" s="193" customFormat="1" x14ac:dyDescent="0.25">
      <c r="A1100" s="193" t="s">
        <v>626</v>
      </c>
    </row>
    <row r="1101" spans="1:255" s="193" customFormat="1" x14ac:dyDescent="0.25">
      <c r="A1101" s="193" t="s">
        <v>627</v>
      </c>
    </row>
    <row r="1102" spans="1:255" s="193" customFormat="1" x14ac:dyDescent="0.25">
      <c r="A1102" s="193" t="s">
        <v>628</v>
      </c>
    </row>
    <row r="1103" spans="1:255" s="193" customFormat="1" x14ac:dyDescent="0.25"/>
    <row r="1104" spans="1:255" s="193" customFormat="1" x14ac:dyDescent="0.25">
      <c r="A1104" s="191" t="s">
        <v>629</v>
      </c>
      <c r="B1104" s="191"/>
      <c r="J1104" s="211"/>
      <c r="K1104" s="211"/>
      <c r="L1104" s="211"/>
      <c r="M1104" s="211"/>
      <c r="N1104" s="211"/>
      <c r="O1104" s="211"/>
      <c r="P1104" s="211"/>
      <c r="Q1104" s="211"/>
      <c r="R1104" s="211"/>
      <c r="S1104" s="211"/>
      <c r="T1104" s="211"/>
      <c r="U1104" s="211"/>
      <c r="V1104" s="211"/>
      <c r="W1104" s="211"/>
      <c r="X1104" s="211"/>
      <c r="Y1104" s="211"/>
      <c r="Z1104" s="211"/>
      <c r="AA1104" s="211"/>
      <c r="AB1104" s="211"/>
      <c r="AC1104" s="211"/>
      <c r="AD1104" s="211"/>
      <c r="AE1104" s="211"/>
      <c r="AF1104" s="211"/>
      <c r="AG1104" s="211"/>
      <c r="AH1104" s="211"/>
      <c r="AI1104" s="211"/>
      <c r="AJ1104" s="211"/>
      <c r="AK1104" s="211"/>
      <c r="AL1104" s="211"/>
      <c r="AM1104" s="211"/>
      <c r="AN1104" s="211"/>
      <c r="AO1104" s="211"/>
      <c r="AP1104" s="211"/>
      <c r="AQ1104" s="211"/>
      <c r="AR1104" s="211"/>
      <c r="AS1104" s="211"/>
      <c r="AT1104" s="211"/>
      <c r="AU1104" s="211"/>
      <c r="AV1104" s="211"/>
      <c r="AW1104" s="211"/>
      <c r="AX1104" s="211"/>
      <c r="AY1104" s="211"/>
      <c r="AZ1104" s="211"/>
      <c r="BA1104" s="211"/>
      <c r="BB1104" s="211"/>
      <c r="BC1104" s="211"/>
      <c r="BD1104" s="211"/>
      <c r="BE1104" s="211"/>
      <c r="BF1104" s="211"/>
      <c r="BG1104" s="211"/>
      <c r="BH1104" s="211"/>
      <c r="BI1104" s="211"/>
      <c r="BJ1104" s="211"/>
      <c r="BK1104" s="211"/>
      <c r="BL1104" s="211"/>
      <c r="BM1104" s="211"/>
      <c r="BN1104" s="211"/>
      <c r="BO1104" s="211"/>
      <c r="BP1104" s="211"/>
      <c r="BQ1104" s="211"/>
      <c r="BR1104" s="211"/>
      <c r="BS1104" s="211"/>
      <c r="BT1104" s="211"/>
      <c r="BU1104" s="211"/>
      <c r="BV1104" s="211"/>
      <c r="BW1104" s="211"/>
      <c r="BX1104" s="211"/>
      <c r="BY1104" s="211"/>
      <c r="BZ1104" s="211"/>
      <c r="CA1104" s="211"/>
      <c r="CB1104" s="211"/>
      <c r="CC1104" s="211"/>
      <c r="CD1104" s="211"/>
      <c r="CE1104" s="211"/>
      <c r="CF1104" s="211"/>
      <c r="CG1104" s="211"/>
      <c r="CH1104" s="211"/>
      <c r="CI1104" s="211"/>
      <c r="CJ1104" s="211"/>
      <c r="CK1104" s="211"/>
      <c r="CL1104" s="211"/>
      <c r="CM1104" s="211"/>
      <c r="CN1104" s="211"/>
      <c r="CO1104" s="211"/>
      <c r="CP1104" s="211"/>
      <c r="CQ1104" s="211"/>
      <c r="CR1104" s="211"/>
      <c r="CS1104" s="211"/>
      <c r="CT1104" s="211"/>
      <c r="CU1104" s="211"/>
      <c r="CV1104" s="211"/>
      <c r="CW1104" s="211"/>
      <c r="CX1104" s="211"/>
      <c r="CY1104" s="211"/>
      <c r="CZ1104" s="211"/>
      <c r="DA1104" s="211"/>
      <c r="DB1104" s="211"/>
      <c r="DC1104" s="211"/>
      <c r="DD1104" s="211"/>
      <c r="DE1104" s="211"/>
      <c r="DF1104" s="211"/>
      <c r="DG1104" s="211"/>
      <c r="DH1104" s="211"/>
      <c r="DI1104" s="211"/>
      <c r="DJ1104" s="211"/>
      <c r="DK1104" s="211"/>
      <c r="DL1104" s="211"/>
      <c r="DM1104" s="211"/>
      <c r="DN1104" s="211"/>
      <c r="DO1104" s="211"/>
      <c r="DP1104" s="211"/>
      <c r="DQ1104" s="211"/>
      <c r="DR1104" s="211"/>
      <c r="DS1104" s="211"/>
      <c r="DT1104" s="211"/>
      <c r="DU1104" s="211"/>
      <c r="DV1104" s="211"/>
      <c r="DW1104" s="211"/>
      <c r="DX1104" s="211"/>
      <c r="DY1104" s="211"/>
      <c r="DZ1104" s="211"/>
      <c r="EA1104" s="211"/>
      <c r="EB1104" s="211"/>
      <c r="EC1104" s="211"/>
      <c r="ED1104" s="211"/>
      <c r="EE1104" s="211"/>
      <c r="EF1104" s="211"/>
      <c r="EG1104" s="211"/>
      <c r="EH1104" s="211"/>
      <c r="EI1104" s="211"/>
      <c r="EJ1104" s="211"/>
      <c r="EK1104" s="211"/>
      <c r="EL1104" s="211"/>
      <c r="EM1104" s="211"/>
      <c r="EN1104" s="211"/>
      <c r="EO1104" s="211"/>
      <c r="EP1104" s="211"/>
      <c r="EQ1104" s="211"/>
      <c r="ER1104" s="211"/>
      <c r="ES1104" s="211"/>
      <c r="ET1104" s="211"/>
      <c r="EU1104" s="211"/>
      <c r="EV1104" s="211"/>
      <c r="EW1104" s="211"/>
      <c r="EX1104" s="211"/>
      <c r="EY1104" s="211"/>
      <c r="EZ1104" s="211"/>
      <c r="FA1104" s="211"/>
      <c r="FB1104" s="211"/>
      <c r="FC1104" s="211"/>
      <c r="FD1104" s="211"/>
      <c r="FE1104" s="211"/>
      <c r="FF1104" s="211"/>
      <c r="FG1104" s="211"/>
      <c r="FH1104" s="211"/>
      <c r="FI1104" s="211"/>
      <c r="FJ1104" s="211"/>
      <c r="FK1104" s="211"/>
      <c r="FL1104" s="211"/>
      <c r="FM1104" s="211"/>
      <c r="FN1104" s="211"/>
      <c r="FO1104" s="211"/>
      <c r="FP1104" s="211"/>
      <c r="FQ1104" s="211"/>
      <c r="FR1104" s="211"/>
      <c r="FS1104" s="211"/>
      <c r="FT1104" s="211"/>
      <c r="FU1104" s="211"/>
      <c r="FV1104" s="211"/>
      <c r="FW1104" s="211"/>
      <c r="FX1104" s="211"/>
      <c r="FY1104" s="211"/>
      <c r="FZ1104" s="211"/>
      <c r="GA1104" s="211"/>
      <c r="GB1104" s="211"/>
      <c r="GC1104" s="211"/>
      <c r="GD1104" s="211"/>
      <c r="GE1104" s="211"/>
      <c r="GF1104" s="211"/>
      <c r="GG1104" s="211"/>
      <c r="GH1104" s="211"/>
      <c r="GI1104" s="211"/>
      <c r="GJ1104" s="211"/>
      <c r="GK1104" s="211"/>
      <c r="GL1104" s="211"/>
      <c r="GM1104" s="211"/>
      <c r="GN1104" s="211"/>
      <c r="GO1104" s="211"/>
      <c r="GP1104" s="211"/>
      <c r="GQ1104" s="211"/>
      <c r="GR1104" s="211"/>
      <c r="GS1104" s="211"/>
      <c r="GT1104" s="211"/>
      <c r="GU1104" s="211"/>
      <c r="GV1104" s="211"/>
      <c r="GW1104" s="211"/>
      <c r="GX1104" s="211"/>
      <c r="GY1104" s="211"/>
      <c r="GZ1104" s="211"/>
      <c r="HA1104" s="211"/>
      <c r="HB1104" s="211"/>
      <c r="HC1104" s="211"/>
      <c r="HD1104" s="211"/>
      <c r="HE1104" s="211"/>
      <c r="HF1104" s="211"/>
      <c r="HG1104" s="211"/>
      <c r="HH1104" s="211"/>
      <c r="HI1104" s="211"/>
      <c r="HJ1104" s="211"/>
      <c r="HK1104" s="211"/>
      <c r="HL1104" s="211"/>
      <c r="HM1104" s="211"/>
      <c r="HN1104" s="211"/>
      <c r="HO1104" s="211"/>
      <c r="HP1104" s="211"/>
      <c r="HQ1104" s="211"/>
      <c r="HR1104" s="211"/>
      <c r="HS1104" s="211"/>
      <c r="HT1104" s="211"/>
      <c r="HU1104" s="211"/>
      <c r="HV1104" s="211"/>
      <c r="HW1104" s="211"/>
      <c r="HX1104" s="211"/>
      <c r="HY1104" s="211"/>
      <c r="HZ1104" s="211"/>
      <c r="IA1104" s="211"/>
      <c r="IB1104" s="211"/>
      <c r="IC1104" s="211"/>
      <c r="ID1104" s="211"/>
      <c r="IE1104" s="211"/>
      <c r="IF1104" s="211"/>
      <c r="IG1104" s="211"/>
      <c r="IH1104" s="211"/>
      <c r="II1104" s="211"/>
      <c r="IJ1104" s="211"/>
      <c r="IK1104" s="211"/>
      <c r="IL1104" s="211"/>
      <c r="IM1104" s="211"/>
      <c r="IN1104" s="211"/>
      <c r="IO1104" s="211"/>
      <c r="IP1104" s="211"/>
      <c r="IQ1104" s="211"/>
      <c r="IR1104" s="211"/>
      <c r="IS1104" s="211"/>
      <c r="IT1104" s="211"/>
      <c r="IU1104" s="211"/>
    </row>
    <row r="1105" spans="1:2" s="193" customFormat="1" x14ac:dyDescent="0.25">
      <c r="A1105" s="214" t="s">
        <v>136</v>
      </c>
      <c r="B1105" s="215" t="s">
        <v>137</v>
      </c>
    </row>
    <row r="1106" spans="1:2" s="193" customFormat="1" x14ac:dyDescent="0.25">
      <c r="A1106" s="195" t="s">
        <v>370</v>
      </c>
      <c r="B1106" s="226">
        <v>100.24</v>
      </c>
    </row>
    <row r="1107" spans="1:2" s="193" customFormat="1" x14ac:dyDescent="0.25">
      <c r="A1107" s="195" t="s">
        <v>371</v>
      </c>
      <c r="B1107" s="224">
        <v>4237.3233399999999</v>
      </c>
    </row>
    <row r="1108" spans="1:2" s="193" customFormat="1" x14ac:dyDescent="0.25">
      <c r="A1108" s="195"/>
      <c r="B1108" s="195"/>
    </row>
    <row r="1109" spans="1:2" s="193" customFormat="1" x14ac:dyDescent="0.25">
      <c r="A1109" s="216" t="s">
        <v>372</v>
      </c>
      <c r="B1109" s="217">
        <v>424749.291601</v>
      </c>
    </row>
    <row r="1110" spans="1:2" s="193" customFormat="1" x14ac:dyDescent="0.25">
      <c r="A1110" s="195" t="s">
        <v>373</v>
      </c>
      <c r="B1110" s="224">
        <v>9324.3919999999998</v>
      </c>
    </row>
    <row r="1111" spans="1:2" s="193" customFormat="1" x14ac:dyDescent="0.25">
      <c r="A1111" s="195" t="s">
        <v>374</v>
      </c>
      <c r="B1111" s="224">
        <v>17083.538</v>
      </c>
    </row>
    <row r="1112" spans="1:2" s="193" customFormat="1" x14ac:dyDescent="0.25">
      <c r="A1112" s="195" t="s">
        <v>375</v>
      </c>
      <c r="B1112" s="224" t="s">
        <v>62</v>
      </c>
    </row>
    <row r="1113" spans="1:2" s="193" customFormat="1" x14ac:dyDescent="0.25">
      <c r="A1113" s="195" t="s">
        <v>376</v>
      </c>
      <c r="B1113" s="224" t="s">
        <v>62</v>
      </c>
    </row>
    <row r="1114" spans="1:2" s="193" customFormat="1" x14ac:dyDescent="0.25">
      <c r="A1114" s="195" t="s">
        <v>377</v>
      </c>
      <c r="B1114" s="224" t="s">
        <v>62</v>
      </c>
    </row>
    <row r="1115" spans="1:2" s="193" customFormat="1" x14ac:dyDescent="0.25">
      <c r="A1115" s="216" t="s">
        <v>378</v>
      </c>
      <c r="B1115" s="217">
        <v>432508.43760100001</v>
      </c>
    </row>
    <row r="1116" spans="1:2" s="193" customFormat="1" x14ac:dyDescent="0.25">
      <c r="A1116" s="195"/>
      <c r="B1116" s="195"/>
    </row>
    <row r="1117" spans="1:2" s="193" customFormat="1" x14ac:dyDescent="0.25">
      <c r="A1117" s="195" t="s">
        <v>379</v>
      </c>
      <c r="B1117" s="224">
        <v>25954.035</v>
      </c>
    </row>
    <row r="1118" spans="1:2" s="193" customFormat="1" x14ac:dyDescent="0.25">
      <c r="A1118" s="195" t="s">
        <v>375</v>
      </c>
      <c r="B1118" s="224" t="s">
        <v>62</v>
      </c>
    </row>
    <row r="1119" spans="1:2" s="193" customFormat="1" x14ac:dyDescent="0.25">
      <c r="A1119" s="195" t="s">
        <v>376</v>
      </c>
      <c r="B1119" s="224" t="s">
        <v>62</v>
      </c>
    </row>
    <row r="1120" spans="1:2" s="193" customFormat="1" x14ac:dyDescent="0.25">
      <c r="A1120" s="195" t="s">
        <v>374</v>
      </c>
      <c r="B1120" s="224">
        <v>17083.538</v>
      </c>
    </row>
    <row r="1121" spans="1:12" s="193" customFormat="1" x14ac:dyDescent="0.25">
      <c r="A1121" s="216" t="s">
        <v>380</v>
      </c>
      <c r="B1121" s="217">
        <v>43037.572999999997</v>
      </c>
    </row>
    <row r="1126" spans="1:12" x14ac:dyDescent="0.25">
      <c r="B1126" s="227"/>
      <c r="C1126" s="193"/>
      <c r="D1126" s="193"/>
      <c r="E1126" s="193"/>
      <c r="F1126" s="193"/>
      <c r="G1126" s="193"/>
      <c r="H1126" s="193"/>
      <c r="I1126" s="228"/>
      <c r="J1126" s="228"/>
      <c r="K1126" s="228"/>
    </row>
    <row r="1127" spans="1:12" x14ac:dyDescent="0.25">
      <c r="B1127" s="229"/>
      <c r="C1127" s="230"/>
      <c r="D1127" s="230"/>
      <c r="E1127" s="230"/>
      <c r="F1127" s="230"/>
      <c r="G1127" s="231"/>
      <c r="H1127" s="231"/>
      <c r="I1127" s="232"/>
      <c r="K1127" s="232"/>
      <c r="L1127" s="228"/>
    </row>
    <row r="1128" spans="1:12" x14ac:dyDescent="0.25">
      <c r="B1128" s="233"/>
      <c r="C1128" s="234"/>
      <c r="D1128" s="235"/>
    </row>
    <row r="1129" spans="1:12" x14ac:dyDescent="0.25">
      <c r="B1129" s="233"/>
      <c r="C1129" s="234"/>
      <c r="D1129" s="235"/>
      <c r="G1129" s="256"/>
      <c r="H1129" s="257"/>
      <c r="I1129" s="257"/>
      <c r="K1129" s="206"/>
    </row>
    <row r="1130" spans="1:12" x14ac:dyDescent="0.25">
      <c r="B1130" s="233"/>
      <c r="C1130" s="234"/>
      <c r="D1130" s="235"/>
      <c r="K1130" s="132"/>
    </row>
    <row r="1131" spans="1:12" x14ac:dyDescent="0.25">
      <c r="B1131" s="233"/>
      <c r="C1131" s="234"/>
      <c r="D1131" s="235"/>
    </row>
    <row r="1132" spans="1:12" x14ac:dyDescent="0.25">
      <c r="B1132" s="233"/>
      <c r="C1132" s="234"/>
      <c r="D1132" s="235"/>
    </row>
    <row r="1133" spans="1:12" x14ac:dyDescent="0.25">
      <c r="B1133" s="233"/>
      <c r="C1133" s="234"/>
      <c r="D1133" s="235"/>
    </row>
    <row r="1134" spans="1:12" x14ac:dyDescent="0.25">
      <c r="B1134" s="233"/>
      <c r="C1134" s="234"/>
      <c r="D1134" s="235"/>
      <c r="G1134" s="231"/>
      <c r="H1134" s="258"/>
      <c r="I1134" s="258"/>
      <c r="J1134" s="228"/>
      <c r="K1134" s="232"/>
      <c r="L1134" s="228"/>
    </row>
    <row r="1135" spans="1:12" x14ac:dyDescent="0.25">
      <c r="B1135" s="233"/>
      <c r="C1135" s="234"/>
      <c r="D1135" s="235"/>
      <c r="G1135" s="238"/>
      <c r="H1135" s="238"/>
      <c r="I1135" s="238"/>
      <c r="K1135" s="238"/>
    </row>
    <row r="1136" spans="1:12" x14ac:dyDescent="0.25">
      <c r="B1136" s="233"/>
      <c r="C1136" s="234"/>
      <c r="D1136" s="235"/>
    </row>
    <row r="1137" spans="2:4" x14ac:dyDescent="0.25">
      <c r="B1137" s="233"/>
      <c r="C1137" s="234"/>
      <c r="D1137" s="235"/>
    </row>
    <row r="1138" spans="2:4" x14ac:dyDescent="0.25">
      <c r="B1138" s="233"/>
      <c r="C1138" s="234"/>
      <c r="D1138" s="235"/>
    </row>
    <row r="1139" spans="2:4" x14ac:dyDescent="0.25">
      <c r="B1139" s="233"/>
      <c r="C1139" s="234"/>
      <c r="D1139" s="235"/>
    </row>
    <row r="1140" spans="2:4" x14ac:dyDescent="0.25">
      <c r="B1140" s="233"/>
      <c r="C1140" s="234"/>
      <c r="D1140" s="235"/>
    </row>
    <row r="1141" spans="2:4" x14ac:dyDescent="0.25">
      <c r="B1141" s="233"/>
      <c r="C1141" s="234"/>
      <c r="D1141" s="235"/>
    </row>
    <row r="1142" spans="2:4" x14ac:dyDescent="0.25">
      <c r="B1142" s="233"/>
      <c r="C1142" s="234"/>
      <c r="D1142" s="235"/>
    </row>
    <row r="1143" spans="2:4" x14ac:dyDescent="0.25">
      <c r="B1143" s="233"/>
      <c r="C1143" s="234"/>
      <c r="D1143" s="235"/>
    </row>
    <row r="1144" spans="2:4" x14ac:dyDescent="0.25">
      <c r="B1144" s="233"/>
      <c r="C1144" s="234"/>
      <c r="D1144" s="235"/>
    </row>
    <row r="1145" spans="2:4" x14ac:dyDescent="0.25">
      <c r="B1145" s="233"/>
      <c r="C1145" s="234"/>
      <c r="D1145" s="235"/>
    </row>
    <row r="1146" spans="2:4" x14ac:dyDescent="0.25">
      <c r="B1146" s="233"/>
      <c r="C1146" s="234"/>
      <c r="D1146" s="235"/>
    </row>
    <row r="1147" spans="2:4" x14ac:dyDescent="0.25">
      <c r="B1147" s="233"/>
      <c r="C1147" s="234"/>
      <c r="D1147" s="235"/>
    </row>
    <row r="1148" spans="2:4" x14ac:dyDescent="0.25">
      <c r="B1148" s="233"/>
      <c r="C1148" s="234"/>
      <c r="D1148" s="235"/>
    </row>
    <row r="1149" spans="2:4" x14ac:dyDescent="0.25">
      <c r="B1149" s="233"/>
      <c r="C1149" s="234"/>
      <c r="D1149" s="235"/>
    </row>
    <row r="1150" spans="2:4" x14ac:dyDescent="0.25">
      <c r="B1150" s="233"/>
      <c r="C1150" s="234"/>
      <c r="D1150" s="235"/>
    </row>
    <row r="1151" spans="2:4" x14ac:dyDescent="0.25">
      <c r="B1151" s="233"/>
      <c r="C1151" s="234"/>
      <c r="D1151" s="235"/>
    </row>
    <row r="1152" spans="2:4" x14ac:dyDescent="0.25">
      <c r="B1152" s="233"/>
      <c r="C1152" s="234"/>
      <c r="D1152" s="235"/>
    </row>
    <row r="1153" spans="2:4" x14ac:dyDescent="0.25">
      <c r="B1153" s="233"/>
      <c r="C1153" s="234"/>
      <c r="D1153" s="235"/>
    </row>
    <row r="1154" spans="2:4" x14ac:dyDescent="0.25">
      <c r="B1154" s="233"/>
      <c r="C1154" s="234"/>
      <c r="D1154" s="235"/>
    </row>
    <row r="1155" spans="2:4" x14ac:dyDescent="0.25">
      <c r="B1155" s="233"/>
      <c r="C1155" s="234"/>
      <c r="D1155" s="235"/>
    </row>
    <row r="1156" spans="2:4" x14ac:dyDescent="0.25">
      <c r="B1156" s="233"/>
      <c r="C1156" s="234"/>
      <c r="D1156" s="235"/>
    </row>
    <row r="1157" spans="2:4" x14ac:dyDescent="0.25">
      <c r="B1157" s="233"/>
      <c r="C1157" s="234"/>
      <c r="D1157" s="235"/>
    </row>
    <row r="1158" spans="2:4" x14ac:dyDescent="0.25">
      <c r="B1158" s="233"/>
      <c r="C1158" s="234"/>
      <c r="D1158" s="235"/>
    </row>
    <row r="1159" spans="2:4" x14ac:dyDescent="0.25">
      <c r="B1159" s="233"/>
      <c r="C1159" s="234"/>
      <c r="D1159" s="235"/>
    </row>
    <row r="1160" spans="2:4" x14ac:dyDescent="0.25">
      <c r="B1160" s="233"/>
      <c r="C1160" s="234"/>
      <c r="D1160" s="235"/>
    </row>
    <row r="1161" spans="2:4" x14ac:dyDescent="0.25">
      <c r="B1161" s="233"/>
      <c r="C1161" s="234"/>
      <c r="D1161" s="235"/>
    </row>
    <row r="1162" spans="2:4" x14ac:dyDescent="0.25">
      <c r="B1162" s="233"/>
      <c r="C1162" s="234"/>
      <c r="D1162" s="235"/>
    </row>
    <row r="1163" spans="2:4" x14ac:dyDescent="0.25">
      <c r="B1163" s="233"/>
      <c r="C1163" s="234"/>
      <c r="D1163" s="235"/>
    </row>
    <row r="1164" spans="2:4" x14ac:dyDescent="0.25">
      <c r="B1164" s="233"/>
      <c r="C1164" s="234"/>
      <c r="D1164" s="235"/>
    </row>
    <row r="1165" spans="2:4" x14ac:dyDescent="0.25">
      <c r="B1165" s="233"/>
      <c r="C1165" s="234"/>
      <c r="D1165" s="235"/>
    </row>
    <row r="1166" spans="2:4" x14ac:dyDescent="0.25">
      <c r="B1166" s="233"/>
      <c r="C1166" s="234"/>
      <c r="D1166" s="235"/>
    </row>
    <row r="1167" spans="2:4" x14ac:dyDescent="0.25">
      <c r="B1167" s="233"/>
      <c r="C1167" s="234"/>
      <c r="D1167" s="235"/>
    </row>
    <row r="1168" spans="2:4" x14ac:dyDescent="0.25">
      <c r="B1168" s="233"/>
      <c r="C1168" s="234"/>
      <c r="D1168" s="235"/>
    </row>
    <row r="1169" spans="2:4" x14ac:dyDescent="0.25">
      <c r="B1169" s="233"/>
      <c r="C1169" s="234"/>
      <c r="D1169" s="235"/>
    </row>
    <row r="1170" spans="2:4" x14ac:dyDescent="0.25">
      <c r="B1170" s="233"/>
      <c r="C1170" s="234"/>
      <c r="D1170" s="235"/>
    </row>
    <row r="1171" spans="2:4" x14ac:dyDescent="0.25">
      <c r="B1171" s="233"/>
      <c r="C1171" s="234"/>
      <c r="D1171" s="235"/>
    </row>
    <row r="1172" spans="2:4" x14ac:dyDescent="0.25">
      <c r="B1172" s="233"/>
      <c r="C1172" s="234"/>
      <c r="D1172" s="235"/>
    </row>
    <row r="1173" spans="2:4" x14ac:dyDescent="0.25">
      <c r="B1173" s="233"/>
      <c r="C1173" s="234"/>
      <c r="D1173" s="235"/>
    </row>
    <row r="1174" spans="2:4" x14ac:dyDescent="0.25">
      <c r="B1174" s="233"/>
      <c r="C1174" s="234"/>
      <c r="D1174" s="235"/>
    </row>
    <row r="1175" spans="2:4" x14ac:dyDescent="0.25">
      <c r="B1175" s="233"/>
      <c r="C1175" s="234"/>
      <c r="D1175" s="235"/>
    </row>
    <row r="1176" spans="2:4" x14ac:dyDescent="0.25">
      <c r="B1176" s="233"/>
      <c r="C1176" s="234"/>
      <c r="D1176" s="235"/>
    </row>
    <row r="1177" spans="2:4" x14ac:dyDescent="0.25">
      <c r="B1177" s="233"/>
      <c r="C1177" s="234"/>
      <c r="D1177" s="235"/>
    </row>
    <row r="1178" spans="2:4" x14ac:dyDescent="0.25">
      <c r="B1178" s="233"/>
      <c r="C1178" s="234"/>
      <c r="D1178" s="235"/>
    </row>
    <row r="1179" spans="2:4" x14ac:dyDescent="0.25">
      <c r="B1179" s="233"/>
      <c r="C1179" s="234"/>
      <c r="D1179" s="235"/>
    </row>
    <row r="1180" spans="2:4" x14ac:dyDescent="0.25">
      <c r="B1180" s="233"/>
      <c r="C1180" s="234"/>
      <c r="D1180" s="235"/>
    </row>
    <row r="1181" spans="2:4" x14ac:dyDescent="0.25">
      <c r="B1181" s="233"/>
      <c r="C1181" s="234"/>
      <c r="D1181" s="235"/>
    </row>
    <row r="1182" spans="2:4" x14ac:dyDescent="0.25">
      <c r="B1182" s="233"/>
      <c r="C1182" s="234"/>
      <c r="D1182" s="235"/>
    </row>
    <row r="1183" spans="2:4" x14ac:dyDescent="0.25">
      <c r="B1183" s="233"/>
      <c r="C1183" s="234"/>
      <c r="D1183" s="235"/>
    </row>
    <row r="1184" spans="2:4" x14ac:dyDescent="0.25">
      <c r="B1184" s="233"/>
      <c r="C1184" s="234"/>
      <c r="D1184" s="235"/>
    </row>
    <row r="1185" spans="2:5" x14ac:dyDescent="0.25">
      <c r="B1185" s="233"/>
      <c r="C1185" s="234"/>
      <c r="D1185" s="235"/>
    </row>
    <row r="1186" spans="2:5" x14ac:dyDescent="0.25">
      <c r="B1186" s="233"/>
      <c r="C1186" s="234"/>
      <c r="D1186" s="235"/>
    </row>
    <row r="1187" spans="2:5" x14ac:dyDescent="0.25">
      <c r="B1187" s="233"/>
      <c r="C1187" s="234"/>
      <c r="D1187" s="235"/>
    </row>
    <row r="1188" spans="2:5" x14ac:dyDescent="0.25">
      <c r="B1188" s="233"/>
      <c r="C1188" s="234"/>
      <c r="D1188" s="235"/>
    </row>
    <row r="1189" spans="2:5" x14ac:dyDescent="0.25">
      <c r="D1189" s="236"/>
      <c r="E1189" s="237"/>
    </row>
  </sheetData>
  <mergeCells count="6">
    <mergeCell ref="B670:C670"/>
    <mergeCell ref="D670:E670"/>
    <mergeCell ref="F670:G670"/>
    <mergeCell ref="B659:C659"/>
    <mergeCell ref="D659:E659"/>
    <mergeCell ref="F659:G659"/>
  </mergeCells>
  <pageMargins left="0.25" right="0.25" top="0.75" bottom="0.75" header="0.3" footer="0.3"/>
  <pageSetup paperSize="12" fitToWidth="0" fitToHeight="0" orientation="landscape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F6326729C154DBFE78CCC3946D7B9" ma:contentTypeVersion="5" ma:contentTypeDescription="Create a new document." ma:contentTypeScope="" ma:versionID="546b4d1a92b0021a2bad2da9ae3e6e2b">
  <xsd:schema xmlns:xsd="http://www.w3.org/2001/XMLSchema" xmlns:xs="http://www.w3.org/2001/XMLSchema" xmlns:p="http://schemas.microsoft.com/office/2006/metadata/properties" xmlns:ns3="b602e625-50e6-44b4-b5b9-1f798aa33df4" targetNamespace="http://schemas.microsoft.com/office/2006/metadata/properties" ma:root="true" ma:fieldsID="e0d128a3789c75d6eec4dcab07572c08" ns3:_="">
    <xsd:import namespace="b602e625-50e6-44b4-b5b9-1f798aa33d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2e625-50e6-44b4-b5b9-1f798aa33d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02e625-50e6-44b4-b5b9-1f798aa33df4" xsi:nil="true"/>
  </documentManagement>
</p:properties>
</file>

<file path=customXml/itemProps1.xml><?xml version="1.0" encoding="utf-8"?>
<ds:datastoreItem xmlns:ds="http://schemas.openxmlformats.org/officeDocument/2006/customXml" ds:itemID="{556C631B-CB40-412D-800F-AF5A4FECE4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D24743-BBFA-4E6B-991F-FA636B917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02e625-50e6-44b4-b5b9-1f798aa33d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0DB813-D9A3-4FE6-B605-282B0D46028D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b602e625-50e6-44b4-b5b9-1f798aa33df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Cover Page</vt:lpstr>
      <vt:lpstr>Summary Table</vt:lpstr>
      <vt:lpstr>Assumption Table</vt:lpstr>
      <vt:lpstr>The Model</vt:lpstr>
      <vt:lpstr>Scenario Table</vt:lpstr>
      <vt:lpstr>Multiples Valuation</vt:lpstr>
      <vt:lpstr>DCF Valuation Table</vt:lpstr>
      <vt:lpstr>Capital Structure</vt:lpstr>
      <vt:lpstr>Data Source Table</vt:lpstr>
      <vt:lpstr>'Assumption Table'!Print_Area</vt:lpstr>
      <vt:lpstr>'Capital Structure'!Print_Area</vt:lpstr>
      <vt:lpstr>'Cover Page'!Print_Area</vt:lpstr>
      <vt:lpstr>'DCF Valuation Table'!Print_Area</vt:lpstr>
      <vt:lpstr>'Multiples Valuation'!Print_Area</vt:lpstr>
      <vt:lpstr>'Scenario Table'!Print_Area</vt:lpstr>
      <vt:lpstr>'Summary Table'!Print_Area</vt:lpstr>
      <vt:lpstr>'The Model'!Print_Area</vt:lpstr>
      <vt:lpstr>'Multiples Valuation'!Print_Titles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cp:lastPrinted>2025-12-26T15:50:38Z</cp:lastPrinted>
  <dcterms:created xsi:type="dcterms:W3CDTF">2025-11-20T18:12:23Z</dcterms:created>
  <dcterms:modified xsi:type="dcterms:W3CDTF">2025-12-26T15:51:37Z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0x010100179F6326729C154DBFE78CCC3946D7B9</vt:lpwstr>
  </property>
</Properties>
</file>